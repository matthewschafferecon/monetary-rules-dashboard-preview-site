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f705a2cb0445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608004f407a4eb9"/>
    <x:sheet xmlns:r="http://schemas.openxmlformats.org/officeDocument/2006/relationships" name="Current Rules" sheetId="2" r:id="R50f1966e2347443c"/>
    <x:sheet xmlns:r="http://schemas.openxmlformats.org/officeDocument/2006/relationships" name="Historical Series" sheetId="3" r:id="Rec1dc02f49a4406e"/>
    <x:sheet xmlns:r="http://schemas.openxmlformats.org/officeDocument/2006/relationships" name="Rule Data Vintages" sheetId="4" r:id="R26f0b938e1884efd"/>
    <x:sheet xmlns:r="http://schemas.openxmlformats.org/officeDocument/2006/relationships" name="Inputs" sheetId="5" r:id="R6f08276680214ebc"/>
    <x:sheet xmlns:r="http://schemas.openxmlformats.org/officeDocument/2006/relationships" name="Reports" sheetId="6" r:id="R9d59b04eaf7547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5c42ed001b4ac9" /><Relationship Type="http://schemas.openxmlformats.org/officeDocument/2006/relationships/theme" Target="/xl/theme/theme1.xml" Id="R71ce96e9b0174f22" /><Relationship Type="http://schemas.openxmlformats.org/officeDocument/2006/relationships/sharedStrings" Target="/xl/sharedStrings.xml" Id="R8ad268011db342be" /><Relationship Type="http://schemas.openxmlformats.org/officeDocument/2006/relationships/worksheet" Target="/xl/worksheets/sheet1.xml" Id="Re608004f407a4eb9" /><Relationship Type="http://schemas.openxmlformats.org/officeDocument/2006/relationships/worksheet" Target="/xl/worksheets/sheet2.xml" Id="R50f1966e2347443c" /><Relationship Type="http://schemas.openxmlformats.org/officeDocument/2006/relationships/worksheet" Target="/xl/worksheets/sheet3.xml" Id="Rec1dc02f49a4406e" /><Relationship Type="http://schemas.openxmlformats.org/officeDocument/2006/relationships/worksheet" Target="/xl/worksheets/sheet4.xml" Id="R26f0b938e1884efd" /><Relationship Type="http://schemas.openxmlformats.org/officeDocument/2006/relationships/worksheet" Target="/xl/worksheets/sheet5.xml" Id="R6f08276680214ebc" /><Relationship Type="http://schemas.openxmlformats.org/officeDocument/2006/relationships/worksheet" Target="/xl/worksheets/sheet6.xml" Id="R9d59b04eaf7547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3.63</x:v>
      </x:c>
    </x:row>
    <x:row r="6">
      <x:c r="A6" s="32" t="str">
        <x:v>Target range lower bound</x:v>
      </x:c>
      <x:c r="B6" s="26" t="n">
        <x:v>3.5</x:v>
      </x:c>
    </x:row>
    <x:row r="7">
      <x:c r="A7" s="32" t="str">
        <x:v>Target range upper bound</x:v>
      </x:c>
      <x:c r="B7" s="26" t="n">
        <x:v>3.75</x:v>
      </x:c>
    </x:row>
    <x:row r="8">
      <x:c r="A8" s="32" t="str">
        <x:v>Minimum rule prescription</x:v>
      </x:c>
      <x:c r="B8" s="26" t="n">
        <x:f>MIN('Current Rules'!D2:D13)</x:f>
        <x:v>3.7695344057616342</x:v>
      </x:c>
    </x:row>
    <x:row r="9">
      <x:c r="A9" s="32" t="str">
        <x:v>Median rule prescription</x:v>
      </x:c>
      <x:c r="B9" s="26" t="n">
        <x:f>MEDIAN('Current Rules'!D2:D13)</x:f>
        <x:v>4.4421423023799385</x:v>
      </x:c>
    </x:row>
    <x:row r="10">
      <x:c r="A10" s="32" t="str">
        <x:v>Maximum rule prescription</x:v>
      </x:c>
      <x:c r="B10" s="26" t="n">
        <x:f>MAX('Current Rules'!D2:D13)</x:f>
        <x:v>5.994555927059969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12</x:v>
      </x:c>
    </x:row>
    <x:row r="13">
      <x:c r="A13" s="32" t="str">
        <x:v>Last Monetary Rules Report</x:v>
      </x:c>
      <x:c r="B13" s="28" t="n">
        <x:v>46231.5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46249.5</x:v>
      </x:c>
    </x:row>
    <x:row r="16">
      <x:c r="A16" s="32" t="str">
        <x:v>NGDP data vintage</x:v>
      </x:c>
      <x:c r="B16" s="28" t="n">
        <x:v>46249.5</x:v>
      </x:c>
    </x:row>
    <x:row r="17">
      <x:c r="A17" s="33" t="str">
        <x:v>Dashboard generated at</x:v>
      </x:c>
      <x:c r="B17" s="30" t="n">
        <x:v>46246.84373957176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5.994555927059969</x:v>
      </x:c>
      <x:c r="E2" s="52" t="n">
        <x:v>6.011806193233087</x:v>
      </x:c>
      <x:c r="F2" s="53" t="n">
        <x:f>IF(E2="","",D2-E2)</x:f>
        <x:v>-0.01725026617311798</x:v>
      </x:c>
      <x:c r="G2" s="53" t="n">
        <x:f>D2-'Summary'!$B$5</x:f>
        <x:v>2.3645559270599694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5.926902542853089</x:v>
      </x:c>
      <x:c r="E3" s="57" t="n">
        <x:v>5.944152809026209</x:v>
      </x:c>
      <x:c r="F3" s="58" t="n">
        <x:f>IF(E3="","",D3-E3)</x:f>
        <x:v>-0.017250266173119755</x:v>
      </x:c>
      <x:c r="G3" s="58" t="n">
        <x:f>D3-'Summary'!$B$5</x:f>
        <x:v>2.296902542853089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3.973388862396815</x:v>
      </x:c>
      <x:c r="E4" s="57" t="n">
        <x:v>4.898230227602368</x:v>
      </x:c>
      <x:c r="F4" s="58" t="n">
        <x:f>IF(E4="","",D4-E4)</x:f>
        <x:v>-0.9248413652055527</x:v>
      </x:c>
      <x:c r="G4" s="58" t="n">
        <x:f>D4-'Summary'!$B$5</x:f>
        <x:v>0.3433888623968153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3.9057354781899356</x:v>
      </x:c>
      <x:c r="E5" s="57" t="n">
        <x:v>4.830576843395487</x:v>
      </x:c>
      <x:c r="F5" s="58" t="n">
        <x:f>IF(E5="","",D5-E5)</x:f>
        <x:v>-0.9248413652055518</x:v>
      </x:c>
      <x:c r="G5" s="58" t="n">
        <x:f>D5-'Summary'!$B$5</x:f>
        <x:v>0.2757354781899357</x:v>
      </x:c>
      <x:c r="H5" s="59" t="str">
        <x:f>IF(D5&gt;'Summary'!$B$7,"Above range",IF(D5&lt;'Summary'!$B$6,"Below range","Within range"))</x:f>
        <x:v>Above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4.8139446301966515</x:v>
      </x:c>
      <x:c r="E6" s="57" t="n">
        <x:v>4.825903096616543</x:v>
      </x:c>
      <x:c r="F6" s="58" t="n">
        <x:f>IF(E6="","",D6-E6)</x:f>
        <x:v>-0.011958466419891067</x:v>
      </x:c>
      <x:c r="G6" s="58" t="n">
        <x:f>D6-'Summary'!$B$5</x:f>
        <x:v>1.1839446301966516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4.780117938093211</x:v>
      </x:c>
      <x:c r="E7" s="57" t="n">
        <x:v>4.792076404513105</x:v>
      </x:c>
      <x:c r="F7" s="58" t="n">
        <x:f>IF(E7="","",D7-E7)</x:f>
        <x:v>-0.011958466419893732</x:v>
      </x:c>
      <x:c r="G7" s="58" t="n">
        <x:f>D7-'Summary'!$B$5</x:f>
        <x:v>1.150117938093211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3.803361097865074</x:v>
      </x:c>
      <x:c r="E8" s="57" t="n">
        <x:v>4.269115113801183</x:v>
      </x:c>
      <x:c r="F8" s="58" t="n">
        <x:f>IF(E8="","",D8-E8)</x:f>
        <x:v>-0.4657540159361089</x:v>
      </x:c>
      <x:c r="G8" s="58" t="n">
        <x:f>D8-'Summary'!$B$5</x:f>
        <x:v>0.17336109786507414</x:v>
      </x:c>
      <x:c r="H8" s="59" t="str">
        <x:f>IF(D8&gt;'Summary'!$B$7,"Above range",IF(D8&lt;'Summary'!$B$6,"Below range","Within range"))</x:f>
        <x:v>Above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3.7695344057616342</x:v>
      </x:c>
      <x:c r="E9" s="57" t="n">
        <x:v>4.235288421697744</x:v>
      </x:c>
      <x:c r="F9" s="58" t="n">
        <x:f>IF(E9="","",D9-E9)</x:f>
        <x:v>-0.46575401593610977</x:v>
      </x:c>
      <x:c r="G9" s="58" t="n">
        <x:f>D9-'Summary'!$B$5</x:f>
        <x:v>0.13953440576163434</x:v>
      </x:c>
      <x:c r="H9" s="59" t="str">
        <x:f>IF(D9&gt;'Summary'!$B$7,"Above range",IF(D9&lt;'Summary'!$B$6,"Below range","Within range"))</x:f>
        <x:v>Above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5.329166666666667</x:v>
      </x:c>
      <x:c r="E10" s="57" t="n">
        <x:v>4.282500000000001</x:v>
      </x:c>
      <x:c r="F10" s="58" t="n">
        <x:f>IF(E10="","",D10-E10)</x:f>
        <x:v>1.046666666666666</x:v>
      </x:c>
      <x:c r="G10" s="58" t="n">
        <x:f>D10-'Summary'!$B$5</x:f>
        <x:v>1.6991666666666667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5.295339974563227</x:v>
      </x:c>
      <x:c r="E11" s="57" t="n">
        <x:v>4.24867330789656</x:v>
      </x:c>
      <x:c r="F11" s="58" t="n">
        <x:f>IF(E11="","",D11-E11)</x:f>
        <x:v>1.0466666666666669</x:v>
      </x:c>
      <x:c r="G11" s="58" t="n">
        <x:f>D11-'Summary'!$B$5</x:f>
        <x:v>1.665339974563227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4.104166666666666</x:v>
      </x:c>
      <x:c r="E12" s="57" t="n">
        <x:v>3.7925</x:v>
      </x:c>
      <x:c r="F12" s="58" t="n">
        <x:f>IF(E12="","",D12-E12)</x:f>
        <x:v>0.3116666666666661</x:v>
      </x:c>
      <x:c r="G12" s="58" t="n">
        <x:f>D12-'Summary'!$B$5</x:f>
        <x:v>0.4741666666666662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4.070339974563226</x:v>
      </x:c>
      <x:c r="E13" s="62" t="n">
        <x:v>3.75867330789656</x:v>
      </x:c>
      <x:c r="F13" s="63" t="n">
        <x:f>IF(E13="","",D13-E13)</x:f>
        <x:v>0.3116666666666661</x:v>
      </x:c>
      <x:c r="G13" s="63" t="n">
        <x:f>D13-'Summary'!$B$5</x:f>
        <x:v>0.4403399745632264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0.3821016681731235</x:v>
      </x:c>
      <x:c r="F2" s="24" t="n">
        <x:v>-0.269107221787717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-0.8326031227715198</x:v>
      </x:c>
      <x:c r="F3" s="26" t="n">
        <x:v>-0.1298814495718702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-1.1162925748105326</x:v>
      </x:c>
      <x:c r="F4" s="26" t="n">
        <x:v>-0.21746600953620332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-0.5870868566785359</x:v>
      </x:c>
      <x:c r="F5" s="26" t="n">
        <x:v>-0.08034277791053557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-0.9018337442522486</x:v>
      </x:c>
      <x:c r="F6" s="26" t="n">
        <x:v>-0.13723017681231836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-1.1399096151533883</x:v>
      </x:c>
      <x:c r="F7" s="26" t="n">
        <x:v>-0.1429496752027558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-0.5499810738444617</x:v>
      </x:c>
      <x:c r="F8" s="26" t="n">
        <x:v>0.1109521430589202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-0.4745849785112586</x:v>
      </x:c>
      <x:c r="F9" s="26" t="n">
        <x:v>0.23494109456178083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-0.3331052144195261</x:v>
      </x:c>
      <x:c r="F10" s="26" t="n">
        <x:v>0.07481014268004305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0.98945312280034</x:v>
      </x:c>
      <x:c r="F11" s="26" t="n">
        <x:v>0.5334493888278254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0.9997098066219077</x:v>
      </x:c>
      <x:c r="F12" s="26" t="n">
        <x:v>0.8470291642922179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0.47859827231595053</x:v>
      </x:c>
      <x:c r="F13" s="26" t="n">
        <x:v>0.7188351054736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-0.7340946173657777</x:v>
      </x:c>
      <x:c r="F14" s="26" t="n">
        <x:v>0.4236881519221628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-0.4841006726035403</x:v>
      </x:c>
      <x:c r="F15" s="26" t="n">
        <x:v>0.9278858242904965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-0.26378976740916116</x:v>
      </x:c>
      <x:c r="F16" s="26" t="n">
        <x:v>1.056122447784881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-0.23614697533535844</x:v>
      </x:c>
      <x:c r="F17" s="26" t="n">
        <x:v>0.9199199231276465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0.7334421511508613</x:v>
      </x:c>
      <x:c r="F18" s="26" t="n">
        <x:v>0.9387744256063996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0.911804377260435</x:v>
      </x:c>
      <x:c r="F19" s="26" t="n">
        <x:v>1.313982466746617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1.0907355719263059</x:v>
      </x:c>
      <x:c r="F20" s="26" t="n">
        <x:v>1.3737327141425666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1.9771502632471236</x:v>
      </x:c>
      <x:c r="F21" s="26" t="n">
        <x:v>1.472265711977446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2.988700104156327</x:v>
      </x:c>
      <x:c r="F22" s="26" t="n">
        <x:v>1.710996031261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2.4628435534217945</x:v>
      </x:c>
      <x:c r="F23" s="26" t="n">
        <x:v>1.7411351725916586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2.5243682198372355</x:v>
      </x:c>
      <x:c r="F24" s="26" t="n">
        <x:v>1.8932702644015555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3.0763680923650623</x:v>
      </x:c>
      <x:c r="F25" s="26" t="n">
        <x:v>2.1786604521553508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3.5044501001423702</x:v>
      </x:c>
      <x:c r="F26" s="26" t="n">
        <x:v>2.421458100058985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4.059853739362089</x:v>
      </x:c>
      <x:c r="F27" s="26" t="n">
        <x:v>2.6264616184932414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4.119458979190385</x:v>
      </x:c>
      <x:c r="F28" s="26" t="n">
        <x:v>2.83704791988533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3.6515046460325964</x:v>
      </x:c>
      <x:c r="F29" s="26" t="n">
        <x:v>2.937190023228269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2.874131003635641</x:v>
      </x:c>
      <x:c r="F30" s="26" t="n">
        <x:v>2.9078590231844466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3.238296321185564</x:v>
      </x:c>
      <x:c r="F31" s="26" t="n">
        <x:v>3.227206100793783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3.24553377785381</x:v>
      </x:c>
      <x:c r="F32" s="26" t="n">
        <x:v>3.1606999569765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3.2448534530401165</x:v>
      </x:c>
      <x:c r="F33" s="26" t="n">
        <x:v>3.0725231911023574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3.249229134445158</x:v>
      </x:c>
      <x:c r="F34" s="26" t="n">
        <x:v>2.6732481347274724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-7.42204423386461</x:v>
      </x:c>
      <x:c r="F35" s="26" t="n">
        <x:v>-2.9496719028354406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-2.335452714831879</x:v>
      </x:c>
      <x:c r="F36" s="26" t="n">
        <x:v>-0.8932536683666039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-0.14989594210499968</x:v>
      </x:c>
      <x:c r="F37" s="26" t="n">
        <x:v>0.42314436740906963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1.7152292424199764</x:v>
      </x:c>
      <x:c r="F38" s="26" t="n">
        <x:v>0.8955301722564287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5.046973960113488</x:v>
      </x:c>
      <x:c r="F39" s="26" t="n">
        <x:v>1.3809963167664798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6.750191968176389</x:v>
      </x:c>
      <x:c r="F40" s="26" t="n">
        <x:v>2.0336362447298733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9.713306579330013</x:v>
      </x:c>
      <x:c r="F41" s="26" t="n">
        <x:v>2.74313325126718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10.901330628521716</x:v>
      </x:c>
      <x:c r="F42" s="26" t="n">
        <x:v>2.948983840081961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11.395479915607341</x:v>
      </x:c>
      <x:c r="F43" s="26" t="n">
        <x:v>3.4851348404718157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11.248537740847466</x:v>
      </x:c>
      <x:c r="F44" s="26" t="n">
        <x:v>3.7458792174314564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10.123793845314218</x:v>
      </x:c>
      <x:c r="F45" s="26" t="n">
        <x:v>4.326783272555097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8.668830270727176</x:v>
      </x:c>
      <x:c r="F46" s="26" t="n">
        <x:v>4.517366963722702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6.862849902713428</x:v>
      </x:c>
      <x:c r="F47" s="26" t="n">
        <x:v>4.963107184915492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5.9689194507047</x:v>
      </x:c>
      <x:c r="F48" s="26" t="n">
        <x:v>4.873540848877008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4.834567537088672</x:v>
      </x:c>
      <x:c r="F49" s="26" t="n">
        <x:v>4.813339750383399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4.682775934746497</x:v>
      </x:c>
      <x:c r="F50" s="26" t="n">
        <x:v>4.477461729265974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4.406087567466002</x:v>
      </x:c>
      <x:c r="F51" s="26" t="n">
        <x:v>4.717011220620588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3.7965034494659005</x:v>
      </x:c>
      <x:c r="F52" s="26" t="n">
        <x:v>4.3589976854492045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4.043941832142453</x:v>
      </x:c>
      <x:c r="F53" s="26" t="n">
        <x:v>4.295586902226258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3.9051376874803783</x:v>
      </x:c>
      <x:c r="F54" s="26" t="n">
        <x:v>4.160733793346079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3.7751900791639903</x:v>
      </x:c>
      <x:c r="F55" s="26" t="n">
        <x:v>4.516896342558374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4.193458127485422</x:v>
      </x:c>
      <x:c r="F56" s="26" t="n">
        <x:v>4.286957109968895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4.045832903464467</x:v>
      </x:c>
      <x:c r="F57" s="26" t="n">
        <x:v>4.093153300572105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4.769996798550084</x:v>
      </x:c>
      <x:c r="F58" s="26" t="n">
        <x:v>4.008487301069509</x:v>
      </x:c>
      <x:c r="G58" s="26" t="n">
        <x:v>3.984897781183367</x:v>
      </x:c>
      <x:c r="H58" s="26" t="n">
        <x:v>3.930167781183367</x:v>
      </x:c>
    </x:row>
    <x:row r="59">
      <x:c r="A59" s="28" t="n">
        <x:v>46157.5</x:v>
      </x:c>
      <x:c r="B59" s="26" t="n">
        <x:v>3.63</x:v>
      </x:c>
      <x:c r="C59" s="26" t="n">
        <x:v>3.5</x:v>
      </x:c>
      <x:c r="D59" s="26" t="n">
        <x:v>3.75</x:v>
      </x:c>
      <x:c r="E59" s="26" t="n">
        <x:v>5.9543631105515</x:v>
      </x:c>
      <x:c r="F59" s="26" t="n">
        <x:v>4.235288421697744</x:v>
      </x:c>
      <x:c r="G59" s="26" t="n">
        <x:v>4.24867330789656</x:v>
      </x:c>
      <x:c r="H59" s="26" t="n">
        <x:v>3.7586733078965597</x:v>
      </x:c>
    </x:row>
    <x:row r="60">
      <x:c r="A60" s="69" t="n">
        <x:v>46249.5</x:v>
      </x:c>
      <x:c r="B60" s="70" t="n">
        <x:v>3.63</x:v>
      </x:c>
      <x:c r="C60" s="70" t="n">
        <x:v>3.5</x:v>
      </x:c>
      <x:c r="D60" s="70" t="n">
        <x:v>3.75</x:v>
      </x:c>
      <x:c r="E60" s="70" t="n">
        <x:v>5.926902542853089</x:v>
      </x:c>
      <x:c r="F60" s="70" t="n">
        <x:v>3.7695344057616342</x:v>
      </x:c>
      <x:c r="G60" s="70" t="n">
        <x:v>5.295339974563227</x:v>
      </x:c>
      <x:c r="H60" s="70" t="n">
        <x:v>4.070339974563226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0.3821016681731235</x:v>
      </x:c>
      <x:c r="G2" s="52" t="n">
        <x:v>0.6454535839012445</x:v>
      </x:c>
      <x:c r="H2" s="52" t="n">
        <x:v>-0.6115477769087674</x:v>
      </x:c>
      <x:c r="I2" s="52" t="n">
        <x:v>0.8562181811582343</x:v>
      </x:c>
      <x:c r="J2" s="52" t="n">
        <x:v>0.22771750075322844</x:v>
      </x:c>
      <x:c r="K2" s="52" t="n">
        <x:v>0.35939345861728894</x:v>
      </x:c>
      <x:c r="L2" s="52" t="n">
        <x:v>-0.269107221787717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-0.8326031227715198</x:v>
      </x:c>
      <x:c r="G3" s="57" t="n">
        <x:v>1.0319459767530574</x:v>
      </x:c>
      <x:c r="H3" s="57" t="n">
        <x:v>-0.3630962324770737</x:v>
      </x:c>
      <x:c r="I3" s="57" t="n">
        <x:v>0.3328862098959723</x:v>
      </x:c>
      <x:c r="J3" s="57" t="n">
        <x:v>-0.36463489471909327</x:v>
      </x:c>
      <x:c r="K3" s="57" t="n">
        <x:v>0.5676396550431954</x:v>
      </x:c>
      <x:c r="L3" s="57" t="n">
        <x:v>-0.1298814495718702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-1.1162925748105326</x:v>
      </x:c>
      <x:c r="G4" s="57" t="n">
        <x:v>0.8141245422712649</x:v>
      </x:c>
      <x:c r="H4" s="57" t="n">
        <x:v>-0.58826535240574</x:v>
      </x:c>
      <x:c r="I4" s="57" t="n">
        <x:v>0.21971532659990278</x:v>
      </x:c>
      <x:c r="J4" s="57" t="n">
        <x:v>-0.4814796207385996</x:v>
      </x:c>
      <x:c r="K4" s="57" t="n">
        <x:v>0.4837289378022991</x:v>
      </x:c>
      <x:c r="L4" s="57" t="n">
        <x:v>-0.21746600953620332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-0.5870868566785359</x:v>
      </x:c>
      <x:c r="G5" s="57" t="n">
        <x:v>1.0534394572272654</x:v>
      </x:c>
      <x:c r="H5" s="57" t="n">
        <x:v>-0.30401888915440445</x:v>
      </x:c>
      <x:c r="I5" s="57" t="n">
        <x:v>0.45685241151823364</x:v>
      </x:c>
      <x:c r="J5" s="57" t="n">
        <x:v>-0.22187676167260129</x:v>
      </x:c>
      <x:c r="K5" s="57" t="n">
        <x:v>0.5983863952802994</x:v>
      </x:c>
      <x:c r="L5" s="57" t="n">
        <x:v>-0.08034277791053557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-0.9018337442522486</x:v>
      </x:c>
      <x:c r="G6" s="57" t="n">
        <x:v>0.8140555311821163</x:v>
      </x:c>
      <x:c r="H6" s="57" t="n">
        <x:v>-0.43446035362463675</x:v>
      </x:c>
      <x:c r="I6" s="57" t="n">
        <x:v>0.2533410702772522</x:v>
      </x:c>
      <x:c r="J6" s="57" t="n">
        <x:v>-0.3709168721261243</x:v>
      </x:c>
      <x:c r="K6" s="57" t="n">
        <x:v>0.48702776559105815</x:v>
      </x:c>
      <x:c r="L6" s="57" t="n">
        <x:v>-0.13723017681231836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-1.1399096151533883</x:v>
      </x:c>
      <x:c r="G7" s="57" t="n">
        <x:v>0.9510462305808649</x:v>
      </x:c>
      <x:c r="H7" s="57" t="n">
        <x:v>-0.42923268373884493</x:v>
      </x:c>
      <x:c r="I7" s="57" t="n">
        <x:v>0.19185131624982732</x:v>
      </x:c>
      <x:c r="J7" s="57" t="n">
        <x:v>-0.4982881409100275</x:v>
      </x:c>
      <x:c r="K7" s="57" t="n">
        <x:v>0.5471897819570991</x:v>
      </x:c>
      <x:c r="L7" s="57" t="n">
        <x:v>-0.1429496752027558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-0.5499810738444617</x:v>
      </x:c>
      <x:c r="G8" s="57" t="n">
        <x:v>1.3608193416738104</x:v>
      </x:c>
      <x:c r="H8" s="57" t="n">
        <x:v>0.10523761945117371</x:v>
      </x:c>
      <x:c r="I8" s="57" t="n">
        <x:v>0.41113365752242115</x:v>
      </x:c>
      <x:c r="J8" s="57" t="n">
        <x:v>-0.2166572035888975</x:v>
      </x:c>
      <x:c r="K8" s="57" t="n">
        <x:v>0.7387430041702385</x:v>
      </x:c>
      <x:c r="L8" s="57" t="n">
        <x:v>0.1109521430589202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-0.4745849785112586</x:v>
      </x:c>
      <x:c r="G9" s="57" t="n">
        <x:v>1.5554940232438845</x:v>
      </x:c>
      <x:c r="H9" s="57" t="n">
        <x:v>0.38654885579022835</x:v>
      </x:c>
      <x:c r="I9" s="57" t="n">
        <x:v>0.38884676113786537</x:v>
      </x:c>
      <x:c r="J9" s="57" t="n">
        <x:v>-0.19562582258896263</x:v>
      </x:c>
      <x:c r="K9" s="57" t="n">
        <x:v>0.8194136782886089</x:v>
      </x:c>
      <x:c r="L9" s="57" t="n">
        <x:v>0.23494109456178083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-0.3331052144195261</x:v>
      </x:c>
      <x:c r="G10" s="57" t="n">
        <x:v>1.5021586002031777</x:v>
      </x:c>
      <x:c r="H10" s="57" t="n">
        <x:v>0.06295361869341942</x:v>
      </x:c>
      <x:c r="I10" s="57" t="n">
        <x:v>0.5963832168784493</x:v>
      </x:c>
      <x:c r="J10" s="57" t="n">
        <x:v>-0.12321927387642972</x:v>
      </x:c>
      <x:c r="K10" s="57" t="n">
        <x:v>0.7944126334349222</x:v>
      </x:c>
      <x:c r="L10" s="57" t="n">
        <x:v>0.07481014268004305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0.98945312280034</x:v>
      </x:c>
      <x:c r="G11" s="57" t="n">
        <x:v>1.9913056875227448</x:v>
      </x:c>
      <x:c r="H11" s="57" t="n">
        <x:v>0.9935654443223176</x:v>
      </x:c>
      <x:c r="I11" s="57" t="n">
        <x:v>1.0302633496670504</x:v>
      </x:c>
      <x:c r="J11" s="57" t="n">
        <x:v>0.5313932280668366</x:v>
      </x:c>
      <x:c r="K11" s="57" t="n">
        <x:v>1.0323195104280392</x:v>
      </x:c>
      <x:c r="L11" s="57" t="n">
        <x:v>0.5334493888278254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0.9997098066219077</x:v>
      </x:c>
      <x:c r="G12" s="57" t="n">
        <x:v>2.407569218305637</x:v>
      </x:c>
      <x:c r="H12" s="57" t="n">
        <x:v>1.6007249952511025</x:v>
      </x:c>
      <x:c r="I12" s="57" t="n">
        <x:v>0.9499436815048878</x:v>
      </x:c>
      <x:c r="J12" s="57" t="n">
        <x:v>0.5465215699776205</x:v>
      </x:c>
      <x:c r="K12" s="57" t="n">
        <x:v>1.2504512758194852</x:v>
      </x:c>
      <x:c r="L12" s="57" t="n">
        <x:v>0.8470291642922179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0.47859827231595053</x:v>
      </x:c>
      <x:c r="G13" s="57" t="n">
        <x:v>2.2615908781039025</x:v>
      </x:c>
      <x:c r="H13" s="57" t="n">
        <x:v>1.3476702109471999</x:v>
      </x:c>
      <x:c r="I13" s="57" t="n">
        <x:v>0.7412594697363262</x:v>
      </x:c>
      <x:c r="J13" s="57" t="n">
        <x:v>0.28429913615797525</x:v>
      </x:c>
      <x:c r="K13" s="57" t="n">
        <x:v>1.1757954390519512</x:v>
      </x:c>
      <x:c r="L13" s="57" t="n">
        <x:v>0.7188351054736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-0.7340946173657777</x:v>
      </x:c>
      <x:c r="G14" s="57" t="n">
        <x:v>1.650454291773495</x:v>
      </x:c>
      <x:c r="H14" s="57" t="n">
        <x:v>0.7473763038443256</x:v>
      </x:c>
      <x:c r="I14" s="57" t="n">
        <x:v>0.13449168528169575</x:v>
      </x:c>
      <x:c r="J14" s="57" t="n">
        <x:v>-0.3170473086828889</x:v>
      </x:c>
      <x:c r="K14" s="57" t="n">
        <x:v>0.8752271458867475</x:v>
      </x:c>
      <x:c r="L14" s="57" t="n">
        <x:v>0.4236881519221628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-0.4841006726035403</x:v>
      </x:c>
      <x:c r="G15" s="57" t="n">
        <x:v>2.5541528312964887</x:v>
      </x:c>
      <x:c r="H15" s="57" t="n">
        <x:v>1.7457716485809929</x:v>
      </x:c>
      <x:c r="I15" s="57" t="n">
        <x:v>0.21714025505597778</x:v>
      </x:c>
      <x:c r="J15" s="57" t="n">
        <x:v>-0.18705033630177015</x:v>
      </x:c>
      <x:c r="K15" s="57" t="n">
        <x:v>1.3320764156482443</x:v>
      </x:c>
      <x:c r="L15" s="57" t="n">
        <x:v>0.9278858242904965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-0.26378976740916116</x:v>
      </x:c>
      <x:c r="G16" s="57" t="n">
        <x:v>2.7033979091747686</x:v>
      </x:c>
      <x:c r="H16" s="57" t="n">
        <x:v>1.9889115622364284</x:v>
      </x:c>
      <x:c r="I16" s="57" t="n">
        <x:v>0.2870149564312562</x:v>
      </x:c>
      <x:c r="J16" s="57" t="n">
        <x:v>-0.07022821703791393</x:v>
      </x:c>
      <x:c r="K16" s="57" t="n">
        <x:v>1.413365621254051</x:v>
      </x:c>
      <x:c r="L16" s="57" t="n">
        <x:v>1.056122447784881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-0.23614697533535844</x:v>
      </x:c>
      <x:c r="G17" s="57" t="n">
        <x:v>2.4369770030536433</x:v>
      </x:c>
      <x:c r="H17" s="57" t="n">
        <x:v>1.7031731795886262</x:v>
      </x:c>
      <x:c r="I17" s="57" t="n">
        <x:v>0.31716175739816266</x:v>
      </x:c>
      <x:c r="J17" s="57" t="n">
        <x:v>-0.04974015433434588</x:v>
      </x:c>
      <x:c r="K17" s="57" t="n">
        <x:v>1.286821834860155</x:v>
      </x:c>
      <x:c r="L17" s="57" t="n">
        <x:v>0.9199199231276465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0.7334421511508613</x:v>
      </x:c>
      <x:c r="G18" s="57" t="n">
        <x:v>2.179768013649126</x:v>
      </x:c>
      <x:c r="H18" s="57" t="n">
        <x:v>1.7175488512127992</x:v>
      </x:c>
      <x:c r="I18" s="57" t="n">
        <x:v>0.677830656793594</x:v>
      </x:c>
      <x:c r="J18" s="57" t="n">
        <x:v>0.44672107557543067</x:v>
      </x:c>
      <x:c r="K18" s="57" t="n">
        <x:v>1.169884006824563</x:v>
      </x:c>
      <x:c r="L18" s="57" t="n">
        <x:v>0.9387744256063996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0.911804377260435</x:v>
      </x:c>
      <x:c r="G19" s="57" t="n">
        <x:v>2.4526720656047276</x:v>
      </x:c>
      <x:c r="H19" s="57" t="n">
        <x:v>2.267964933493234</x:v>
      </x:c>
      <x:c r="I19" s="57" t="n">
        <x:v>0.7282557546859645</x:v>
      </x:c>
      <x:c r="J19" s="57" t="n">
        <x:v>0.6359021886302174</x:v>
      </x:c>
      <x:c r="K19" s="57" t="n">
        <x:v>1.4063360328023637</x:v>
      </x:c>
      <x:c r="L19" s="57" t="n">
        <x:v>1.313982466746617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1.0907355719263059</x:v>
      </x:c>
      <x:c r="G20" s="57" t="n">
        <x:v>2.3574166463620756</x:v>
      </x:c>
      <x:c r="H20" s="57" t="n">
        <x:v>2.3741320949517997</x:v>
      </x:c>
      <x:c r="I20" s="57" t="n">
        <x:v>0.7236767283349579</x:v>
      </x:c>
      <x:c r="J20" s="57" t="n">
        <x:v>0.7320344526298197</x:v>
      </x:c>
      <x:c r="K20" s="57" t="n">
        <x:v>1.3653749898477046</x:v>
      </x:c>
      <x:c r="L20" s="57" t="n">
        <x:v>1.3737327141425666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1.9771502632471236</x:v>
      </x:c>
      <x:c r="G21" s="57" t="n">
        <x:v>2.612149547208954</x:v>
      </x:c>
      <x:c r="H21" s="57" t="n">
        <x:v>2.5478647572882256</x:v>
      </x:c>
      <x:c r="I21" s="57" t="n">
        <x:v>1.2190508599172594</x:v>
      </x:c>
      <x:c r="J21" s="57" t="n">
        <x:v>1.186908464956895</x:v>
      </x:c>
      <x:c r="K21" s="57" t="n">
        <x:v>1.5044081069378104</x:v>
      </x:c>
      <x:c r="L21" s="57" t="n">
        <x:v>1.472265711977446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2.988700104156327</x:v>
      </x:c>
      <x:c r="G22" s="57" t="n">
        <x:v>3.060819554447882</x:v>
      </x:c>
      <x:c r="H22" s="57" t="n">
        <x:v>2.9719920625219998</x:v>
      </x:c>
      <x:c r="I22" s="57" t="n">
        <x:v>1.7637637980411047</x:v>
      </x:c>
      <x:c r="J22" s="57" t="n">
        <x:v>1.7193500520781635</x:v>
      </x:c>
      <x:c r="K22" s="57" t="n">
        <x:v>1.755409777223941</x:v>
      </x:c>
      <x:c r="L22" s="57" t="n">
        <x:v>1.710996031261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2.4628435534217945</x:v>
      </x:c>
      <x:c r="G23" s="57" t="n">
        <x:v>2.921393212903162</x:v>
      </x:c>
      <x:c r="H23" s="57" t="n">
        <x:v>2.782270345183317</x:v>
      </x:c>
      <x:c r="I23" s="57" t="n">
        <x:v>1.6509832105708198</x:v>
      </x:c>
      <x:c r="J23" s="57" t="n">
        <x:v>1.5814217767108973</x:v>
      </x:c>
      <x:c r="K23" s="57" t="n">
        <x:v>1.810696606451581</x:v>
      </x:c>
      <x:c r="L23" s="57" t="n">
        <x:v>1.7411351725916586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2.5243682198372355</x:v>
      </x:c>
      <x:c r="G24" s="57" t="n">
        <x:v>2.7773613927865513</x:v>
      </x:c>
      <x:c r="H24" s="57" t="n">
        <x:v>2.836540528803111</x:v>
      </x:c>
      <x:c r="I24" s="57" t="n">
        <x:v>1.7075945419103378</x:v>
      </x:c>
      <x:c r="J24" s="57" t="n">
        <x:v>1.7371841099186178</x:v>
      </x:c>
      <x:c r="K24" s="57" t="n">
        <x:v>1.8636806963932757</x:v>
      </x:c>
      <x:c r="L24" s="57" t="n">
        <x:v>1.8932702644015555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3.0763680923650623</x:v>
      </x:c>
      <x:c r="G25" s="57" t="n">
        <x:v>2.877052996893128</x:v>
      </x:c>
      <x:c r="H25" s="57" t="n">
        <x:v>3.203987570977368</x:v>
      </x:c>
      <x:c r="I25" s="57" t="n">
        <x:v>1.9513834258070775</x:v>
      </x:c>
      <x:c r="J25" s="57" t="n">
        <x:v>2.1148507128491976</x:v>
      </x:c>
      <x:c r="K25" s="57" t="n">
        <x:v>2.0151931651132307</x:v>
      </x:c>
      <x:c r="L25" s="57" t="n">
        <x:v>2.1786604521553508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3.5044501001423702</x:v>
      </x:c>
      <x:c r="G26" s="57" t="n">
        <x:v>3.2634479870915802</x:v>
      </x:c>
      <x:c r="H26" s="57" t="n">
        <x:v>3.639582866784637</x:v>
      </x:c>
      <x:c r="I26" s="57" t="n">
        <x:v>2.1658242768913234</x:v>
      </x:c>
      <x:c r="J26" s="57" t="n">
        <x:v>2.3538917167378517</x:v>
      </x:c>
      <x:c r="K26" s="57" t="n">
        <x:v>2.2333906602124567</x:v>
      </x:c>
      <x:c r="L26" s="57" t="n">
        <x:v>2.421458100058985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4.059853739362089</x:v>
      </x:c>
      <x:c r="G27" s="57" t="n">
        <x:v>3.498152887781216</x:v>
      </x:c>
      <x:c r="H27" s="57" t="n">
        <x:v>3.8062565703198157</x:v>
      </x:c>
      <x:c r="I27" s="57" t="n">
        <x:v>2.5992083617450783</x:v>
      </x:c>
      <x:c r="J27" s="57" t="n">
        <x:v>2.7532602030143782</x:v>
      </x:c>
      <x:c r="K27" s="57" t="n">
        <x:v>2.4724097772239415</x:v>
      </x:c>
      <x:c r="L27" s="57" t="n">
        <x:v>2.6264616184932414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4.119458979190385</x:v>
      </x:c>
      <x:c r="G28" s="57" t="n">
        <x:v>3.782155826166446</x:v>
      </x:c>
      <x:c r="H28" s="57" t="n">
        <x:v>3.9374291731039923</x:v>
      </x:c>
      <x:c r="I28" s="57" t="n">
        <x:v>2.8504261494597527</x:v>
      </x:c>
      <x:c r="J28" s="57" t="n">
        <x:v>2.928062822928526</x:v>
      </x:c>
      <x:c r="K28" s="57" t="n">
        <x:v>2.7594112464165566</x:v>
      </x:c>
      <x:c r="L28" s="57" t="n">
        <x:v>2.83704791988533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3.6515046460325964</x:v>
      </x:c>
      <x:c r="G29" s="57" t="n">
        <x:v>3.726740684437348</x:v>
      </x:c>
      <x:c r="H29" s="57" t="n">
        <x:v>3.9510467131232048</x:v>
      </x:c>
      <x:c r="I29" s="57" t="n">
        <x:v>2.6752659753400363</x:v>
      </x:c>
      <x:c r="J29" s="57" t="n">
        <x:v>2.7874189896829646</x:v>
      </x:c>
      <x:c r="K29" s="57" t="n">
        <x:v>2.8250370088853405</x:v>
      </x:c>
      <x:c r="L29" s="57" t="n">
        <x:v>2.937190023228269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2.874131003635641</x:v>
      </x:c>
      <x:c r="G30" s="57" t="n">
        <x:v>3.2713851620204433</x:v>
      </x:c>
      <x:c r="H30" s="57" t="n">
        <x:v>3.5957180463688934</x:v>
      </x:c>
      <x:c r="I30" s="57" t="n">
        <x:v>2.3848990596435957</x:v>
      </x:c>
      <x:c r="J30" s="57" t="n">
        <x:v>2.5470655018178205</x:v>
      </x:c>
      <x:c r="K30" s="57" t="n">
        <x:v>2.7456925810102217</x:v>
      </x:c>
      <x:c r="L30" s="57" t="n">
        <x:v>2.9078590231844466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3.238296321185564</x:v>
      </x:c>
      <x:c r="G31" s="57" t="n">
        <x:v>3.473175670547747</x:v>
      </x:c>
      <x:c r="H31" s="57" t="n">
        <x:v>4.051078868254233</x:v>
      </x:c>
      <x:c r="I31" s="57" t="n">
        <x:v>2.5318632284062055</x:v>
      </x:c>
      <x:c r="J31" s="57" t="n">
        <x:v>2.8208148272594484</x:v>
      </x:c>
      <x:c r="K31" s="57" t="n">
        <x:v>2.93825450194054</x:v>
      </x:c>
      <x:c r="L31" s="57" t="n">
        <x:v>3.227206100793783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3.24553377785381</x:v>
      </x:c>
      <x:c r="G32" s="57" t="n">
        <x:v>3.1387145006293435</x:v>
      </x:c>
      <x:c r="H32" s="57" t="n">
        <x:v>3.9247332472863334</x:v>
      </x:c>
      <x:c r="I32" s="57" t="n">
        <x:v>2.4280908489317437</x:v>
      </x:c>
      <x:c r="J32" s="57" t="n">
        <x:v>2.821100222260238</x:v>
      </x:c>
      <x:c r="K32" s="57" t="n">
        <x:v>2.7676905836480055</x:v>
      </x:c>
      <x:c r="L32" s="57" t="n">
        <x:v>3.1606999569765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3.2448534530401165</x:v>
      </x:c>
      <x:c r="G33" s="57" t="n">
        <x:v>3.1850560261424548</x:v>
      </x:c>
      <x:c r="H33" s="57" t="n">
        <x:v>3.9550463822047153</x:v>
      </x:c>
      <x:c r="I33" s="57" t="n">
        <x:v>2.332431548488928</x:v>
      </x:c>
      <x:c r="J33" s="57" t="n">
        <x:v>2.717426726520058</x:v>
      </x:c>
      <x:c r="K33" s="57" t="n">
        <x:v>2.687528013071227</x:v>
      </x:c>
      <x:c r="L33" s="57" t="n">
        <x:v>3.0725231911023574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3.249229134445158</x:v>
      </x:c>
      <x:c r="G34" s="57" t="n">
        <x:v>2.9083226392505312</x:v>
      </x:c>
      <x:c r="H34" s="57" t="n">
        <x:v>3.7031629361216116</x:v>
      </x:c>
      <x:c r="I34" s="57" t="n">
        <x:v>2.0488610854537055</x:v>
      </x:c>
      <x:c r="J34" s="57" t="n">
        <x:v>2.4462812338892457</x:v>
      </x:c>
      <x:c r="K34" s="57" t="n">
        <x:v>2.275827986291932</x:v>
      </x:c>
      <x:c r="L34" s="57" t="n">
        <x:v>2.6732481347274724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-7.42204423386461</x:v>
      </x:c>
      <x:c r="G35" s="57" t="n">
        <x:v>-7.92116500216229</x:v>
      </x:c>
      <x:c r="H35" s="57" t="n">
        <x:v>-7.159343805670881</x:v>
      </x:c>
      <x:c r="I35" s="57" t="n">
        <x:v>-3.46193271517801</x:v>
      </x:c>
      <x:c r="J35" s="57" t="n">
        <x:v>-3.081022116932305</x:v>
      </x:c>
      <x:c r="K35" s="57" t="n">
        <x:v>-3.330582501081145</x:v>
      </x:c>
      <x:c r="L35" s="57" t="n">
        <x:v>-2.9496719028354406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-2.335452714831879</x:v>
      </x:c>
      <x:c r="G36" s="57" t="n">
        <x:v>-2.677732943579648</x:v>
      </x:c>
      <x:c r="H36" s="57" t="n">
        <x:v>-1.8465073367332079</x:v>
      </x:c>
      <x:c r="I36" s="57" t="n">
        <x:v>-1.5533391608391596</x:v>
      </x:c>
      <x:c r="J36" s="57" t="n">
        <x:v>-1.1377263574159395</x:v>
      </x:c>
      <x:c r="K36" s="57" t="n">
        <x:v>-1.308866471789824</x:v>
      </x:c>
      <x:c r="L36" s="57" t="n">
        <x:v>-0.8932536683666039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-0.14989594210499968</x:v>
      </x:c>
      <x:c r="G37" s="57" t="n">
        <x:v>-0.05848672955052381</x:v>
      </x:c>
      <x:c r="H37" s="57" t="n">
        <x:v>0.7529554014848059</x:v>
      </x:c>
      <x:c r="I37" s="57" t="n">
        <x:v>-0.434002369903498</x:v>
      </x:c>
      <x:c r="J37" s="57" t="n">
        <x:v>-0.02828130438583317</x:v>
      </x:c>
      <x:c r="K37" s="57" t="n">
        <x:v>0.017423301891404765</x:v>
      </x:c>
      <x:c r="L37" s="57" t="n">
        <x:v>0.42314436740906963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0.7672036478529263</x:v>
      </x:c>
      <x:c r="F38" s="57" t="n">
        <x:v>1.7152292424199764</x:v>
      </x:c>
      <x:c r="G38" s="57" t="n">
        <x:v>0.7530347499458072</x:v>
      </x:c>
      <x:c r="H38" s="57" t="n">
        <x:v>1.7010603445128574</x:v>
      </x:c>
      <x:c r="I38" s="57" t="n">
        <x:v>0.4286018239264631</x:v>
      </x:c>
      <x:c r="J38" s="57" t="n">
        <x:v>0.9026146212099883</x:v>
      </x:c>
      <x:c r="K38" s="57" t="n">
        <x:v>0.4215173749729036</x:v>
      </x:c>
      <x:c r="L38" s="57" t="n">
        <x:v>0.8955301722564287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4.025780561510787</x:v>
      </x:c>
      <x:c r="F39" s="57" t="n">
        <x:v>5.046973960113488</x:v>
      </x:c>
      <x:c r="G39" s="57" t="n">
        <x:v>1.66079923493026</x:v>
      </x:c>
      <x:c r="H39" s="57" t="n">
        <x:v>2.6819926335329596</x:v>
      </x:c>
      <x:c r="I39" s="57" t="n">
        <x:v>2.0528902807553937</x:v>
      </x:c>
      <x:c r="J39" s="57" t="n">
        <x:v>2.563486980056744</x:v>
      </x:c>
      <x:c r="K39" s="57" t="n">
        <x:v>0.8703996174651301</x:v>
      </x:c>
      <x:c r="L39" s="57" t="n">
        <x:v>1.3809963167664798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5.776885057471289</x:v>
      </x:c>
      <x:c r="F40" s="57" t="n">
        <x:v>6.750191968176389</x:v>
      </x:c>
      <x:c r="G40" s="57" t="n">
        <x:v>3.0239655787546464</x:v>
      </x:c>
      <x:c r="H40" s="57" t="n">
        <x:v>3.9972724894597462</x:v>
      </x:c>
      <x:c r="I40" s="57" t="n">
        <x:v>2.9234425287356447</x:v>
      </x:c>
      <x:c r="J40" s="57" t="n">
        <x:v>3.4100959840881946</x:v>
      </x:c>
      <x:c r="K40" s="57" t="n">
        <x:v>1.5469827893773231</x:v>
      </x:c>
      <x:c r="L40" s="57" t="n">
        <x:v>2.0336362447298733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8.482455333162513</x:v>
      </x:c>
      <x:c r="F41" s="57" t="n">
        <x:v>9.713306579330013</x:v>
      </x:c>
      <x:c r="G41" s="57" t="n">
        <x:v>4.1654152563668605</x:v>
      </x:c>
      <x:c r="H41" s="57" t="n">
        <x:v>5.396266502534361</x:v>
      </x:c>
      <x:c r="I41" s="57" t="n">
        <x:v>4.286227666581256</x:v>
      </x:c>
      <x:c r="J41" s="57" t="n">
        <x:v>4.901653289665006</x:v>
      </x:c>
      <x:c r="K41" s="57" t="n">
        <x:v>2.12770762818343</x:v>
      </x:c>
      <x:c r="L41" s="57" t="n">
        <x:v>2.74313325126718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9.866069834001152</x:v>
      </x:c>
      <x:c r="F42" s="57" t="n">
        <x:v>10.901330628521716</x:v>
      </x:c>
      <x:c r="G42" s="57" t="n">
        <x:v>4.782706885643359</x:v>
      </x:c>
      <x:c r="H42" s="57" t="n">
        <x:v>5.817967680163922</x:v>
      </x:c>
      <x:c r="I42" s="57" t="n">
        <x:v>4.973034917000576</x:v>
      </x:c>
      <x:c r="J42" s="57" t="n">
        <x:v>5.490665314260858</x:v>
      </x:c>
      <x:c r="K42" s="57" t="n">
        <x:v>2.4313534428216794</x:v>
      </x:c>
      <x:c r="L42" s="57" t="n">
        <x:v>2.948983840081961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10.627900244028694</x:v>
      </x:c>
      <x:c r="F43" s="57" t="n">
        <x:v>11.395479915607341</x:v>
      </x:c>
      <x:c r="G43" s="57" t="n">
        <x:v>6.082690009364985</x:v>
      </x:c>
      <x:c r="H43" s="57" t="n">
        <x:v>6.850269680943631</x:v>
      </x:c>
      <x:c r="I43" s="57" t="n">
        <x:v>5.373950122014347</x:v>
      </x:c>
      <x:c r="J43" s="57" t="n">
        <x:v>5.75773995780367</x:v>
      </x:c>
      <x:c r="K43" s="57" t="n">
        <x:v>3.1013450046824924</x:v>
      </x:c>
      <x:c r="L43" s="57" t="n">
        <x:v>3.4851348404718157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10.433937151368685</x:v>
      </x:c>
      <x:c r="F44" s="57" t="n">
        <x:v>11.248537740847466</x:v>
      </x:c>
      <x:c r="G44" s="57" t="n">
        <x:v>5.907157845384132</x:v>
      </x:c>
      <x:c r="H44" s="57" t="n">
        <x:v>6.721758434862913</x:v>
      </x:c>
      <x:c r="I44" s="57" t="n">
        <x:v>5.601968575684342</x:v>
      </x:c>
      <x:c r="J44" s="57" t="n">
        <x:v>6.009268870423733</x:v>
      </x:c>
      <x:c r="K44" s="57" t="n">
        <x:v>3.338578922692066</x:v>
      </x:c>
      <x:c r="L44" s="57" t="n">
        <x:v>3.7458792174314564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9.374315967612707</x:v>
      </x:c>
      <x:c r="F45" s="57" t="n">
        <x:v>10.123793845314218</x:v>
      </x:c>
      <x:c r="G45" s="57" t="n">
        <x:v>5.714088667408684</x:v>
      </x:c>
      <x:c r="H45" s="57" t="n">
        <x:v>6.4635665451101945</x:v>
      </x:c>
      <x:c r="I45" s="57" t="n">
        <x:v>5.7821579838063535</x:v>
      </x:c>
      <x:c r="J45" s="57" t="n">
        <x:v>6.156896922657109</x:v>
      </x:c>
      <x:c r="K45" s="57" t="n">
        <x:v>3.9520443337043423</x:v>
      </x:c>
      <x:c r="L45" s="57" t="n">
        <x:v>4.326783272555097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7.963604297629344</x:v>
      </x:c>
      <x:c r="F46" s="57" t="n">
        <x:v>8.668830270727176</x:v>
      </x:c>
      <x:c r="G46" s="57" t="n">
        <x:v>4.67617462101424</x:v>
      </x:c>
      <x:c r="H46" s="57" t="n">
        <x:v>5.38140059411207</x:v>
      </x:c>
      <x:c r="I46" s="57" t="n">
        <x:v>5.808468815481339</x:v>
      </x:c>
      <x:c r="J46" s="57" t="n">
        <x:v>6.161081802030254</x:v>
      </x:c>
      <x:c r="K46" s="57" t="n">
        <x:v>4.1647539771737865</x:v>
      </x:c>
      <x:c r="L46" s="57" t="n">
        <x:v>4.517366963722702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6.277340498135288</x:v>
      </x:c>
      <x:c r="F47" s="57" t="n">
        <x:v>6.862849902713428</x:v>
      </x:c>
      <x:c r="G47" s="57" t="n">
        <x:v>4.824038298586177</x:v>
      </x:c>
      <x:c r="H47" s="57" t="n">
        <x:v>5.409547703164317</x:v>
      </x:c>
      <x:c r="I47" s="57" t="n">
        <x:v>5.397003582400977</x:v>
      </x:c>
      <x:c r="J47" s="57" t="n">
        <x:v>5.689758284690047</x:v>
      </x:c>
      <x:c r="K47" s="57" t="n">
        <x:v>4.670352482626422</x:v>
      </x:c>
      <x:c r="L47" s="57" t="n">
        <x:v>4.963107184915492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5.44315416089675</x:v>
      </x:c>
      <x:c r="F48" s="57" t="n">
        <x:v>5.9689194507047</x:v>
      </x:c>
      <x:c r="G48" s="57" t="n">
        <x:v>4.231316407946066</x:v>
      </x:c>
      <x:c r="H48" s="57" t="n">
        <x:v>4.757081697754016</x:v>
      </x:c>
      <x:c r="I48" s="57" t="n">
        <x:v>5.216577080448375</x:v>
      </x:c>
      <x:c r="J48" s="57" t="n">
        <x:v>5.47945972535235</x:v>
      </x:c>
      <x:c r="K48" s="57" t="n">
        <x:v>4.610658203973033</x:v>
      </x:c>
      <x:c r="L48" s="57" t="n">
        <x:v>4.873540848877008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4.405518277822901</x:v>
      </x:c>
      <x:c r="F49" s="57" t="n">
        <x:v>4.834567537088672</x:v>
      </x:c>
      <x:c r="G49" s="57" t="n">
        <x:v>3.937630241501027</x:v>
      </x:c>
      <x:c r="H49" s="57" t="n">
        <x:v>4.366679500766798</x:v>
      </x:c>
      <x:c r="I49" s="57" t="n">
        <x:v>4.832759138911451</x:v>
      </x:c>
      <x:c r="J49" s="57" t="n">
        <x:v>5.047283768544336</x:v>
      </x:c>
      <x:c r="K49" s="57" t="n">
        <x:v>4.598815120750514</x:v>
      </x:c>
      <x:c r="L49" s="57" t="n">
        <x:v>4.813339750383399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4.2998603055397195</x:v>
      </x:c>
      <x:c r="F50" s="57" t="n">
        <x:v>4.682775934746497</x:v>
      </x:c>
      <x:c r="G50" s="57" t="n">
        <x:v>3.24200782932517</x:v>
      </x:c>
      <x:c r="H50" s="57" t="n">
        <x:v>3.624923458531947</x:v>
      </x:c>
      <x:c r="I50" s="57" t="n">
        <x:v>4.814930152769859</x:v>
      </x:c>
      <x:c r="J50" s="57" t="n">
        <x:v>5.006387967373248</x:v>
      </x:c>
      <x:c r="K50" s="57" t="n">
        <x:v>4.286003914662585</x:v>
      </x:c>
      <x:c r="L50" s="57" t="n">
        <x:v>4.477461729265974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4.160222467204729</x:v>
      </x:c>
      <x:c r="F51" s="57" t="n">
        <x:v>4.406087567466002</x:v>
      </x:c>
      <x:c r="G51" s="57" t="n">
        <x:v>3.8581573409799033</x:v>
      </x:c>
      <x:c r="H51" s="57" t="n">
        <x:v>4.104022441241176</x:v>
      </x:c>
      <x:c r="I51" s="57" t="n">
        <x:v>4.745111233602365</x:v>
      </x:c>
      <x:c r="J51" s="57" t="n">
        <x:v>4.868043783733</x:v>
      </x:c>
      <x:c r="K51" s="57" t="n">
        <x:v>4.594078670489951</x:v>
      </x:c>
      <x:c r="L51" s="57" t="n">
        <x:v>4.717011220620588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3.718167769981595</x:v>
      </x:c>
      <x:c r="F52" s="57" t="n">
        <x:v>3.7965034494659005</x:v>
      </x:c>
      <x:c r="G52" s="57" t="n">
        <x:v>3.3096596914141028</x:v>
      </x:c>
      <x:c r="H52" s="57" t="n">
        <x:v>3.387995370898409</x:v>
      </x:c>
      <x:c r="I52" s="57" t="n">
        <x:v>4.524083884990798</x:v>
      </x:c>
      <x:c r="J52" s="57" t="n">
        <x:v>4.56325172473295</x:v>
      </x:c>
      <x:c r="K52" s="57" t="n">
        <x:v>4.319829845707051</x:v>
      </x:c>
      <x:c r="L52" s="57" t="n">
        <x:v>4.3589976854492045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4.134055814259625</x:v>
      </x:c>
      <x:c r="F53" s="57" t="n">
        <x:v>4.043941832142453</x:v>
      </x:c>
      <x:c r="G53" s="57" t="n">
        <x:v>3.417954453236356</x:v>
      </x:c>
      <x:c r="H53" s="57" t="n">
        <x:v>3.327840471119184</x:v>
      </x:c>
      <x:c r="I53" s="57" t="n">
        <x:v>4.6986945737964785</x:v>
      </x:c>
      <x:c r="J53" s="57" t="n">
        <x:v>4.653637582737893</x:v>
      </x:c>
      <x:c r="K53" s="57" t="n">
        <x:v>4.340643893284844</x:v>
      </x:c>
      <x:c r="L53" s="57" t="n">
        <x:v>4.295586902226258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4.113069416581042</x:v>
      </x:c>
      <x:c r="F54" s="57" t="n">
        <x:v>3.9051376874803783</x:v>
      </x:c>
      <x:c r="G54" s="57" t="n">
        <x:v>3.8793993157928237</x:v>
      </x:c>
      <x:c r="H54" s="57" t="n">
        <x:v>3.6714675866921596</x:v>
      </x:c>
      <x:c r="I54" s="57" t="n">
        <x:v>4.38153470829052</x:v>
      </x:c>
      <x:c r="J54" s="57" t="n">
        <x:v>4.277568843740188</x:v>
      </x:c>
      <x:c r="K54" s="57" t="n">
        <x:v>4.264699657896411</x:v>
      </x:c>
      <x:c r="L54" s="57" t="n">
        <x:v>4.160733793346079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3.8706435835311903</x:v>
      </x:c>
      <x:c r="F55" s="57" t="n">
        <x:v>3.7751900791639903</x:v>
      </x:c>
      <x:c r="G55" s="57" t="n">
        <x:v>4.799246189483946</x:v>
      </x:c>
      <x:c r="H55" s="57" t="n">
        <x:v>4.703792685116746</x:v>
      </x:c>
      <x:c r="I55" s="57" t="n">
        <x:v>4.100321791765595</x:v>
      </x:c>
      <x:c r="J55" s="57" t="n">
        <x:v>4.052595039581995</x:v>
      </x:c>
      <x:c r="K55" s="57" t="n">
        <x:v>4.5646230947419735</x:v>
      </x:c>
      <x:c r="L55" s="57" t="n">
        <x:v>4.516896342558374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4.141109658678292</x:v>
      </x:c>
      <x:c r="F56" s="57" t="n">
        <x:v>4.193458127485422</x:v>
      </x:c>
      <x:c r="G56" s="57" t="n">
        <x:v>4.191565751130659</x:v>
      </x:c>
      <x:c r="H56" s="57" t="n">
        <x:v>4.243914219937789</x:v>
      </x:c>
      <x:c r="I56" s="57" t="n">
        <x:v>4.235554829339145</x:v>
      </x:c>
      <x:c r="J56" s="57" t="n">
        <x:v>4.261729063742711</x:v>
      </x:c>
      <x:c r="K56" s="57" t="n">
        <x:v>4.260782875565329</x:v>
      </x:c>
      <x:c r="L56" s="57" t="n">
        <x:v>4.286957109968895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4.157394393077939</x:v>
      </x:c>
      <x:c r="F57" s="57" t="n">
        <x:v>4.045832903464467</x:v>
      </x:c>
      <x:c r="G57" s="57" t="n">
        <x:v>4.004534757424349</x:v>
      </x:c>
      <x:c r="H57" s="57" t="n">
        <x:v>3.892973267810877</x:v>
      </x:c>
      <x:c r="I57" s="57" t="n">
        <x:v>4.2253638632056365</x:v>
      </x:c>
      <x:c r="J57" s="57" t="n">
        <x:v>4.1695831183989</x:v>
      </x:c>
      <x:c r="K57" s="57" t="n">
        <x:v>4.148934045378841</x:v>
      </x:c>
      <x:c r="L57" s="57" t="n">
        <x:v>4.093153300572105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4.795983516090297</x:v>
      </x:c>
      <x:c r="F58" s="57" t="n">
        <x:v>4.769996798550084</x:v>
      </x:c>
      <x:c r="G58" s="57" t="n">
        <x:v>4.146294653012562</x:v>
      </x:c>
      <x:c r="H58" s="57" t="n">
        <x:v>4.12030793547235</x:v>
      </x:c>
      <x:c r="I58" s="57" t="n">
        <x:v>4.346325091378482</x:v>
      </x:c>
      <x:c r="J58" s="57" t="n">
        <x:v>4.333331732608375</x:v>
      </x:c>
      <x:c r="K58" s="57" t="n">
        <x:v>4.0214806598396144</x:v>
      </x:c>
      <x:c r="L58" s="57" t="n">
        <x:v>4.008487301069509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79" t="n">
        <x:v>46157.5</x:v>
      </x:c>
      <x:c r="B59" s="57" t="n">
        <x:v>3.63</x:v>
      </x:c>
      <x:c r="C59" s="57" t="n">
        <x:v>3.5</x:v>
      </x:c>
      <x:c r="D59" s="57" t="n">
        <x:v>3.75</x:v>
      </x:c>
      <x:c r="E59" s="57" t="n">
        <x:v>6.022016494758381</x:v>
      </x:c>
      <x:c r="F59" s="57" t="n">
        <x:v>5.9543631105515</x:v>
      </x:c>
      <x:c r="G59" s="57" t="n">
        <x:v>4.898230227602368</x:v>
      </x:c>
      <x:c r="H59" s="57" t="n">
        <x:v>4.830576843395488</x:v>
      </x:c>
      <x:c r="I59" s="57" t="n">
        <x:v>4.831008247379191</x:v>
      </x:c>
      <x:c r="J59" s="57" t="n">
        <x:v>4.79718155527575</x:v>
      </x:c>
      <x:c r="K59" s="57" t="n">
        <x:v>4.269115113801184</x:v>
      </x:c>
      <x:c r="L59" s="57" t="n">
        <x:v>4.235288421697744</x:v>
      </x:c>
      <x:c r="M59" s="57" t="n">
        <x:v>4.2825</x:v>
      </x:c>
      <x:c r="N59" s="57" t="n">
        <x:v>4.24867330789656</x:v>
      </x:c>
      <x:c r="O59" s="57" t="n">
        <x:v>3.7925</x:v>
      </x:c>
      <x:c r="P59" s="80" t="n">
        <x:v>3.7586733078965597</x:v>
      </x:c>
    </x:row>
    <x:row r="60">
      <x:c r="A60" s="81" t="n">
        <x:v>46249.5</x:v>
      </x:c>
      <x:c r="B60" s="62" t="n">
        <x:v>3.63</x:v>
      </x:c>
      <x:c r="C60" s="62" t="n">
        <x:v>3.5</x:v>
      </x:c>
      <x:c r="D60" s="62" t="n">
        <x:v>3.75</x:v>
      </x:c>
      <x:c r="E60" s="62" t="n">
        <x:v>5.994555927059969</x:v>
      </x:c>
      <x:c r="F60" s="62" t="n">
        <x:v>5.926902542853089</x:v>
      </x:c>
      <x:c r="G60" s="62" t="n">
        <x:v>3.973388862396815</x:v>
      </x:c>
      <x:c r="H60" s="62" t="n">
        <x:v>3.9057354781899356</x:v>
      </x:c>
      <x:c r="I60" s="62" t="n">
        <x:v>4.8139446301966515</x:v>
      </x:c>
      <x:c r="J60" s="62" t="n">
        <x:v>4.780117938093211</x:v>
      </x:c>
      <x:c r="K60" s="62" t="n">
        <x:v>3.803361097865074</x:v>
      </x:c>
      <x:c r="L60" s="62" t="n">
        <x:v>3.7695344057616342</x:v>
      </x:c>
      <x:c r="M60" s="62" t="n">
        <x:v>5.329166666666667</x:v>
      </x:c>
      <x:c r="N60" s="62" t="n">
        <x:v>5.295339974563227</x:v>
      </x:c>
      <x:c r="O60" s="62" t="n">
        <x:v>4.104166666666666</x:v>
      </x:c>
      <x:c r="P60" s="82" t="n">
        <x:v>4.070339974563226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3.63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3.633333333333333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1.125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1.05734661579312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3.729916301013048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2.382471591237612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0.5493629510807949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3.633333333333333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7.9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1.45</x:v>
      </x:c>
      <x:c r="E13" s="94" t="str">
        <x:v>Monetary Neutrality Report Nominal-spending gap — https://fedagenda.substack.com/p/monetary-neutrality-report-9d2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1.125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1.05734661579312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46231.5</x:v>
      </x:c>
      <x:c r="C2" s="99" t="n">
        <x:v>46246.5</x:v>
      </x:c>
      <x:c r="D2" s="54" t="str">
        <x:v>https://fedagenda.substack.com/p/monetary-rules-report-31f</x:v>
      </x:c>
    </x:row>
    <x:row r="3">
      <x:c r="A3" s="60" t="str">
        <x:v>Latest Monetary Neutrality Report</x:v>
      </x:c>
      <x:c r="B3" s="100" t="n">
        <x:v>46234.5</x:v>
      </x:c>
      <x:c r="C3" s="100" t="n">
        <x:v>46246.5</x:v>
      </x:c>
      <x:c r="D3" s="64" t="str">
        <x:v>https://fedagenda.substack.com/p/monetary-neutrality-report-9d2</x:v>
      </x:c>
    </x:row>
  </x:sheetData>
  <x:pageMargins left="0.7" right="0.7" top="0.75" bottom="0.75" header="0.3" footer="0.3"/>
</x:worksheet>
</file>