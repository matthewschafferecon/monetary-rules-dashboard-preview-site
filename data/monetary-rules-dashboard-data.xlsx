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d9f37b7bf4b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ef0e35c79c4ba0"/>
    <x:sheet xmlns:r="http://schemas.openxmlformats.org/officeDocument/2006/relationships" name="Current Rules" sheetId="2" r:id="Rf38328b45aa44f3c"/>
    <x:sheet xmlns:r="http://schemas.openxmlformats.org/officeDocument/2006/relationships" name="Historical Series" sheetId="3" r:id="R7f726cef30db4791"/>
    <x:sheet xmlns:r="http://schemas.openxmlformats.org/officeDocument/2006/relationships" name="Rule Data Vintages" sheetId="4" r:id="R059152960d494bc1"/>
    <x:sheet xmlns:r="http://schemas.openxmlformats.org/officeDocument/2006/relationships" name="Inputs" sheetId="5" r:id="Rf1d57b0027d34aca"/>
    <x:sheet xmlns:r="http://schemas.openxmlformats.org/officeDocument/2006/relationships" name="Reports" sheetId="6" r:id="R5823b686d4cd4e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&quot;%&quot;"/>
    <x:numFmt numFmtId="201" formatCode="0"/>
    <x:numFmt numFmtId="202" formatCode="yyyy-mm-dd"/>
    <x:numFmt numFmtId="203" formatCode="yyyy-mm-dd hh:mm"/>
    <x:numFmt numFmtId="204" formatCode="+0.00;-0.00;0.00 &quot;pp&quot;"/>
    <x:numFmt numFmtId="205" formatCode="0.0000"/>
  </x:numFmts>
  <x:fonts count="5">
    <x:font>
      <x:sz val="11"/>
      <x:name val="Carlito"/>
    </x:font>
    <x:font>
      <x:b/>
      <x:sz val="18"/>
      <x:color rgb="FFFFFFFF"/>
      <x:name val="Carlito"/>
    </x:font>
    <x:font>
      <x:sz val="11"/>
      <x:color rgb="FF797D82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609C"/>
      </x:patternFill>
    </x:fill>
    <x:fill>
      <x:patternFill patternType="solid">
        <x:fgColor rgb="FFF3F2EE"/>
      </x:patternFill>
    </x:fill>
  </x:fills>
  <x:borders count="14">
    <x:border/>
    <x:border>
      <x:bottom style="medium">
        <x:color rgb="FFF68A33"/>
      </x:bottom>
    </x:border>
    <x:border>
      <x:bottom style="thin">
        <x:color rgb="FFD9DADD"/>
      </x:bottom>
    </x:border>
    <x:border>
      <x:top style="thin">
        <x:color rgb="FFD9DADD"/>
      </x:top>
      <x:bottom style="thin">
        <x:color rgb="FFD9DADD"/>
      </x:bottom>
    </x:border>
    <x:border>
      <x:top style="thin">
        <x:color rgb="FFD9DADD"/>
      </x:top>
    </x:border>
    <x:border>
      <x:right style="thin">
        <x:color rgb="FFD9DADD"/>
      </x:right>
      <x:bottom style="thin">
        <x:color rgb="FFD9DADD"/>
      </x:bottom>
    </x:border>
    <x:border>
      <x:left style="thin">
        <x:color rgb="FFD9DADD"/>
      </x:left>
      <x:right style="thin">
        <x:color rgb="FFD9DADD"/>
      </x:right>
      <x:bottom style="thin">
        <x:color rgb="FFD9DADD"/>
      </x:bottom>
    </x:border>
    <x:border>
      <x:left style="thin">
        <x:color rgb="FFD9DADD"/>
      </x:left>
      <x:bottom style="thin">
        <x:color rgb="FFD9DADD"/>
      </x:bottom>
    </x:border>
    <x:border>
      <x:right style="thin">
        <x:color rgb="FFD9DADD"/>
      </x:right>
      <x:top style="thin">
        <x:color rgb="FFD9DADD"/>
      </x:top>
      <x:bottom style="thin">
        <x:color rgb="FFD9DADD"/>
      </x:bottom>
    </x:border>
    <x:border>
      <x:left style="thin">
        <x:color rgb="FFD9DADD"/>
      </x:left>
      <x:right style="thin">
        <x:color rgb="FFD9DADD"/>
      </x:right>
      <x:top style="thin">
        <x:color rgb="FFD9DADD"/>
      </x:top>
      <x:bottom style="thin">
        <x:color rgb="FFD9DADD"/>
      </x:bottom>
    </x:border>
    <x:border>
      <x:left style="thin">
        <x:color rgb="FFD9DADD"/>
      </x:left>
      <x:top style="thin">
        <x:color rgb="FFD9DADD"/>
      </x:top>
      <x:bottom style="thin">
        <x:color rgb="FFD9DADD"/>
      </x:bottom>
    </x:border>
    <x:border>
      <x:right style="thin">
        <x:color rgb="FFD9DADD"/>
      </x:right>
      <x:top style="thin">
        <x:color rgb="FFD9DADD"/>
      </x:top>
    </x:border>
    <x:border>
      <x:left style="thin">
        <x:color rgb="FFD9DADD"/>
      </x:left>
      <x:right style="thin">
        <x:color rgb="FFD9DADD"/>
      </x:right>
      <x:top style="thin">
        <x:color rgb="FFD9DADD"/>
      </x:top>
    </x:border>
    <x:border>
      <x:left style="thin">
        <x:color rgb="FFD9DADD"/>
      </x:left>
      <x:top style="thin">
        <x:color rgb="FFD9DADD"/>
      </x:top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0" fillId="0" borderId="4" xfId="0" applyNumberFormat="1" applyFont="1" applyFill="1" applyBorder="1"/>
    <x:xf numFmtId="203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204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4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12" xfId="0" applyNumberFormat="1" applyFont="1" applyFill="1" applyBorder="1"/>
    <x:xf numFmtId="204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4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4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4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202" fontId="0" fillId="0" borderId="2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/>
    <x:xf numFmtId="200" fontId="0" fillId="0" borderId="7" xfId="0" applyNumberFormat="1" applyFont="1" applyFill="1" applyBorder="1"/>
    <x:xf numFmtId="202" fontId="0" fillId="0" borderId="8" xfId="0" applyNumberFormat="1" applyFont="1" applyFill="1" applyBorder="1"/>
    <x:xf numFmtId="200" fontId="0" fillId="0" borderId="10" xfId="0" applyNumberFormat="1" applyFont="1" applyFill="1" applyBorder="1"/>
    <x:xf numFmtId="202" fontId="0" fillId="0" borderId="11" xfId="0" applyNumberFormat="1" applyFont="1" applyFill="1" applyBorder="1"/>
    <x:xf numFmtId="200" fontId="0" fillId="0" borderId="13" xfId="0" applyNumberFormat="1" applyFont="1" applyFill="1" applyBorder="1"/>
    <x:xf numFmtId="202" fontId="0" fillId="0" borderId="5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200" fontId="0" fillId="0" borderId="13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5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5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205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5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205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205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202" fontId="0" fillId="0" borderId="6" xfId="0" applyNumberFormat="1" applyFont="1" applyFill="1" applyBorder="1"/>
    <x:xf numFmtId="202" fontId="0" fillId="0" borderId="12" xfId="0" applyNumberFormat="1" applyFont="1" applyFill="1" applyBorder="1"/>
    <x:xf numFmtId="202" fontId="0" fillId="0" borderId="6" xfId="0" applyNumberFormat="1" applyFont="1" applyFill="1" applyBorder="1" applyAlignment="1">
      <x:alignment vertical="center"/>
    </x:xf>
    <x:xf numFmtId="202" fontId="0" fillId="0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93cf307d3e45e0" /><Relationship Type="http://schemas.openxmlformats.org/officeDocument/2006/relationships/theme" Target="/xl/theme/theme1.xml" Id="Re4db51fe04ee4135" /><Relationship Type="http://schemas.openxmlformats.org/officeDocument/2006/relationships/sharedStrings" Target="/xl/sharedStrings.xml" Id="R602a4e3507c24f5a" /><Relationship Type="http://schemas.openxmlformats.org/officeDocument/2006/relationships/worksheet" Target="/xl/worksheets/sheet1.xml" Id="Rfbef0e35c79c4ba0" /><Relationship Type="http://schemas.openxmlformats.org/officeDocument/2006/relationships/worksheet" Target="/xl/worksheets/sheet2.xml" Id="Rf38328b45aa44f3c" /><Relationship Type="http://schemas.openxmlformats.org/officeDocument/2006/relationships/worksheet" Target="/xl/worksheets/sheet3.xml" Id="R7f726cef30db4791" /><Relationship Type="http://schemas.openxmlformats.org/officeDocument/2006/relationships/worksheet" Target="/xl/worksheets/sheet4.xml" Id="R059152960d494bc1" /><Relationship Type="http://schemas.openxmlformats.org/officeDocument/2006/relationships/worksheet" Target="/xl/worksheets/sheet5.xml" Id="Rf1d57b0027d34aca" /><Relationship Type="http://schemas.openxmlformats.org/officeDocument/2006/relationships/worksheet" Target="/xl/worksheets/sheet6.xml" Id="R5823b686d4cd4e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</x:cols>
  <x:sheetData>
    <x:row r="1" ht="34" customHeight="1">
      <x:c r="A1" s="3" t="str">
        <x:v>AIER Monetary Rules Dashboard Data</x:v>
      </x:c>
      <x:c r="B1" s="3"/>
      <x:c r="C1" s="3"/>
      <x:c r="D1" s="3"/>
    </x:row>
    <x:row r="2" ht="24" customHeight="1">
      <x:c r="A2" s="6" t="str">
        <x:v>Downloadable data supporting the AIER Monetary Rules Dashboard</x:v>
      </x:c>
      <x:c r="B2" s="6"/>
      <x:c r="C2" s="6"/>
      <x:c r="D2" s="6"/>
    </x:row>
    <x:row r="4" ht="26" customHeight="1">
      <x:c r="A4" s="10" t="str">
        <x:v>Metric</x:v>
      </x:c>
      <x:c r="B4" s="10" t="str">
        <x:v>Value</x:v>
      </x:c>
    </x:row>
    <x:row r="5">
      <x:c r="A5" s="31" t="str">
        <x:v>Effective FFR</x:v>
      </x:c>
      <x:c r="B5" s="24" t="n">
        <x:v>3.63</x:v>
      </x:c>
    </x:row>
    <x:row r="6">
      <x:c r="A6" s="32" t="str">
        <x:v>Target range lower bound</x:v>
      </x:c>
      <x:c r="B6" s="26" t="n">
        <x:v>3.5</x:v>
      </x:c>
    </x:row>
    <x:row r="7">
      <x:c r="A7" s="32" t="str">
        <x:v>Target range upper bound</x:v>
      </x:c>
      <x:c r="B7" s="26" t="n">
        <x:v>3.75</x:v>
      </x:c>
    </x:row>
    <x:row r="8">
      <x:c r="A8" s="32" t="str">
        <x:v>Minimum rule prescription</x:v>
      </x:c>
      <x:c r="B8" s="26" t="n">
        <x:f>MIN('Current Rules'!D2:D13)</x:f>
        <x:v>3.7586733078965597</x:v>
      </x:c>
    </x:row>
    <x:row r="9">
      <x:c r="A9" s="32" t="str">
        <x:v>Median rule prescription</x:v>
      </x:c>
      <x:c r="B9" s="26" t="n">
        <x:f>MEDIAN('Current Rules'!D2:D13)</x:f>
        <x:v>4.537288202256551</x:v>
      </x:c>
    </x:row>
    <x:row r="10">
      <x:c r="A10" s="32" t="str">
        <x:v>Maximum rule prescription</x:v>
      </x:c>
      <x:c r="B10" s="26" t="n">
        <x:f>MAX('Current Rules'!D2:D13)</x:f>
        <x:v>6.011806193233088</x:v>
      </x:c>
    </x:row>
    <x:row r="11">
      <x:c r="A11" s="32" t="str">
        <x:v>Number of rules</x:v>
      </x:c>
      <x:c r="B11" s="27" t="n">
        <x:f>COUNTA('Current Rules'!D2:D13)</x:f>
        <x:v>12</x:v>
      </x:c>
    </x:row>
    <x:row r="12">
      <x:c r="A12" s="32" t="str">
        <x:v>Rules above target range</x:v>
      </x:c>
      <x:c r="B12" s="27" t="n">
        <x:f>COUNTIF('Current Rules'!H2:H13,"Above range")</x:f>
        <x:v>12</x:v>
      </x:c>
    </x:row>
    <x:row r="13">
      <x:c r="A13" s="32" t="str">
        <x:v>Last Monetary Rules Report</x:v>
      </x:c>
      <x:c r="B13" s="28" t="n">
        <x:v>46189.5</x:v>
      </x:c>
    </x:row>
    <x:row r="14">
      <x:c r="A14" s="32" t="str">
        <x:v>Source workbook</x:v>
      </x:c>
      <x:c r="B14" s="25" t="str">
        <x:v>verified-workbook.xlsx</x:v>
      </x:c>
    </x:row>
    <x:row r="15">
      <x:c r="A15" s="32" t="str">
        <x:v>Taylor data vintage</x:v>
      </x:c>
      <x:c r="B15" s="28" t="n">
        <x:v>46157.5</x:v>
      </x:c>
    </x:row>
    <x:row r="16">
      <x:c r="A16" s="32" t="str">
        <x:v>NGDP data vintage</x:v>
      </x:c>
      <x:c r="B16" s="28" t="n">
        <x:v>46157.5</x:v>
      </x:c>
    </x:row>
    <x:row r="17">
      <x:c r="A17" s="33" t="str">
        <x:v>Dashboard generated at</x:v>
      </x:c>
      <x:c r="B17" s="30" t="n">
        <x:v>46232.01116609954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8" hidden="0" customWidth="1"/>
    <x:col min="5" max="5" width="18" hidden="0" customWidth="1"/>
    <x:col min="6" max="6" width="26" hidden="0" customWidth="1"/>
    <x:col min="7" max="7" width="25" hidden="0" customWidth="1"/>
    <x:col min="8" max="8" width="18" hidden="0" customWidth="1"/>
  </x:cols>
  <x:sheetData>
    <x:row r="1" ht="26" customHeight="1">
      <x:c r="A1" s="10" t="str">
        <x:v>Family</x:v>
      </x:c>
      <x:c r="B1" s="10" t="str">
        <x:v>Specification</x:v>
      </x:c>
      <x:c r="C1" s="10" t="str">
        <x:v>R* Measure</x:v>
      </x:c>
      <x:c r="D1" s="10" t="str">
        <x:v>Prescription</x:v>
      </x:c>
      <x:c r="E1" s="10" t="str">
        <x:v>Last Monetary Rules Report</x:v>
      </x:c>
      <x:c r="F1" s="10" t="str">
        <x:v>Change From Last FOMC</x:v>
      </x:c>
      <x:c r="G1" s="10" t="str">
        <x:v>Gap vs. Effective FFR</x:v>
      </x:c>
      <x:c r="H1" s="10" t="str">
        <x:v>Status</x:v>
      </x:c>
    </x:row>
    <x:row r="2">
      <x:c r="A2" s="50" t="str">
        <x:v>Taylor</x:v>
      </x:c>
      <x:c r="B2" s="51" t="str">
        <x:v>Original</x:v>
      </x:c>
      <x:c r="C2" s="51" t="str">
        <x:v>SEP</x:v>
      </x:c>
      <x:c r="D2" s="52" t="n">
        <x:v>6.011806193233088</x:v>
      </x:c>
      <x:c r="E2" s="52" t="n">
        <x:v>5.91</x:v>
      </x:c>
      <x:c r="F2" s="53" t="n">
        <x:f>IF(E2="","",D2-E2)</x:f>
        <x:v>0.10180619323308804</x:v>
      </x:c>
      <x:c r="G2" s="53" t="n">
        <x:f>D2-'Summary'!$B$5</x:f>
        <x:v>2.3818061932330883</x:v>
      </x:c>
      <x:c r="H2" s="54" t="str">
        <x:f>IF(D2&gt;'Summary'!$B$7,"Above range",IF(D2&lt;'Summary'!$B$6,"Below range","Within range"))</x:f>
        <x:v>Above range</x:v>
      </x:c>
    </x:row>
    <x:row r="3">
      <x:c r="A3" s="55" t="str">
        <x:v>Taylor</x:v>
      </x:c>
      <x:c r="B3" s="56" t="str">
        <x:v>Original</x:v>
      </x:c>
      <x:c r="C3" s="56" t="str">
        <x:v>HLW</x:v>
      </x:c>
      <x:c r="D3" s="57" t="n">
        <x:v>5.944152809026208</x:v>
      </x:c>
      <x:c r="E3" s="57" t="n">
        <x:v>5.71</x:v>
      </x:c>
      <x:c r="F3" s="58" t="n">
        <x:f>IF(E3="","",D3-E3)</x:f>
        <x:v>0.23415280902620772</x:v>
      </x:c>
      <x:c r="G3" s="58" t="n">
        <x:f>D3-'Summary'!$B$5</x:f>
        <x:v>2.314152809026208</x:v>
      </x:c>
      <x:c r="H3" s="59" t="str">
        <x:f>IF(D3&gt;'Summary'!$B$7,"Above range",IF(D3&lt;'Summary'!$B$6,"Below range","Within range"))</x:f>
        <x:v>Above range</x:v>
      </x:c>
    </x:row>
    <x:row r="4">
      <x:c r="A4" s="55" t="str">
        <x:v>Taylor</x:v>
      </x:c>
      <x:c r="B4" s="56" t="str">
        <x:v>Forward-looking</x:v>
      </x:c>
      <x:c r="C4" s="56" t="str">
        <x:v>SEP</x:v>
      </x:c>
      <x:c r="D4" s="57" t="n">
        <x:v>4.898230227602368</x:v>
      </x:c>
      <x:c r="E4" s="57" t="n">
        <x:v>4.78</x:v>
      </x:c>
      <x:c r="F4" s="58" t="n">
        <x:f>IF(E4="","",D4-E4)</x:f>
        <x:v>0.11823022760236768</x:v>
      </x:c>
      <x:c r="G4" s="58" t="n">
        <x:f>D4-'Summary'!$B$5</x:f>
        <x:v>1.268230227602368</x:v>
      </x:c>
      <x:c r="H4" s="59" t="str">
        <x:f>IF(D4&gt;'Summary'!$B$7,"Above range",IF(D4&lt;'Summary'!$B$6,"Below range","Within range"))</x:f>
        <x:v>Above range</x:v>
      </x:c>
    </x:row>
    <x:row r="5">
      <x:c r="A5" s="55" t="str">
        <x:v>Taylor</x:v>
      </x:c>
      <x:c r="B5" s="56" t="str">
        <x:v>Forward-looking</x:v>
      </x:c>
      <x:c r="C5" s="56" t="str">
        <x:v>HLW</x:v>
      </x:c>
      <x:c r="D5" s="57" t="n">
        <x:v>4.830576843395488</x:v>
      </x:c>
      <x:c r="E5" s="57" t="n">
        <x:v>4.58</x:v>
      </x:c>
      <x:c r="F5" s="58" t="n">
        <x:f>IF(E5="","",D5-E5)</x:f>
        <x:v>0.25057684339548825</x:v>
      </x:c>
      <x:c r="G5" s="58" t="n">
        <x:f>D5-'Summary'!$B$5</x:f>
        <x:v>1.2005768433954884</x:v>
      </x:c>
      <x:c r="H5" s="59" t="str">
        <x:f>IF(D5&gt;'Summary'!$B$7,"Above range",IF(D5&lt;'Summary'!$B$6,"Below range","Within range"))</x:f>
        <x:v>Above range</x:v>
      </x:c>
    </x:row>
    <x:row r="6">
      <x:c r="A6" s="55" t="str">
        <x:v>Taylor</x:v>
      </x:c>
      <x:c r="B6" s="56" t="str">
        <x:v>Smoothed</x:v>
      </x:c>
      <x:c r="C6" s="56" t="str">
        <x:v>SEP</x:v>
      </x:c>
      <x:c r="D6" s="57" t="n">
        <x:v>4.825903096616544</x:v>
      </x:c>
      <x:c r="E6" s="57" t="n">
        <x:v>4.77</x:v>
      </x:c>
      <x:c r="F6" s="58" t="n">
        <x:f>IF(E6="","",D6-E6)</x:f>
        <x:v>0.0559030966165448</x:v>
      </x:c>
      <x:c r="G6" s="58" t="n">
        <x:f>D6-'Summary'!$B$5</x:f>
        <x:v>1.1959030966165445</x:v>
      </x:c>
      <x:c r="H6" s="59" t="str">
        <x:f>IF(D6&gt;'Summary'!$B$7,"Above range",IF(D6&lt;'Summary'!$B$6,"Below range","Within range"))</x:f>
        <x:v>Above range</x:v>
      </x:c>
    </x:row>
    <x:row r="7">
      <x:c r="A7" s="55" t="str">
        <x:v>Taylor</x:v>
      </x:c>
      <x:c r="B7" s="56" t="str">
        <x:v>Smoothed</x:v>
      </x:c>
      <x:c r="C7" s="56" t="str">
        <x:v>HLW</x:v>
      </x:c>
      <x:c r="D7" s="57" t="n">
        <x:v>4.792076404513104</x:v>
      </x:c>
      <x:c r="E7" s="57" t="n">
        <x:v>4.67</x:v>
      </x:c>
      <x:c r="F7" s="58" t="n">
        <x:f>IF(E7="","",D7-E7)</x:f>
        <x:v>0.12207640451310375</x:v>
      </x:c>
      <x:c r="G7" s="58" t="n">
        <x:f>D7-'Summary'!$B$5</x:f>
        <x:v>1.1620764045131038</x:v>
      </x:c>
      <x:c r="H7" s="59" t="str">
        <x:f>IF(D7&gt;'Summary'!$B$7,"Above range",IF(D7&lt;'Summary'!$B$6,"Below range","Within range"))</x:f>
        <x:v>Above range</x:v>
      </x:c>
    </x:row>
    <x:row r="8">
      <x:c r="A8" s="55" t="str">
        <x:v>Taylor</x:v>
      </x:c>
      <x:c r="B8" s="56" t="str">
        <x:v>Smoothed and Forward-looking</x:v>
      </x:c>
      <x:c r="C8" s="56" t="str">
        <x:v>SEP</x:v>
      </x:c>
      <x:c r="D8" s="57" t="n">
        <x:v>4.269115113801184</x:v>
      </x:c>
      <x:c r="E8" s="57" t="n">
        <x:v>4.21</x:v>
      </x:c>
      <x:c r="F8" s="58" t="n">
        <x:f>IF(E8="","",D8-E8)</x:f>
        <x:v>0.05911511380118384</x:v>
      </x:c>
      <x:c r="G8" s="58" t="n">
        <x:f>D8-'Summary'!$B$5</x:f>
        <x:v>0.6391151138011839</x:v>
      </x:c>
      <x:c r="H8" s="59" t="str">
        <x:f>IF(D8&gt;'Summary'!$B$7,"Above range",IF(D8&lt;'Summary'!$B$6,"Below range","Within range"))</x:f>
        <x:v>Above range</x:v>
      </x:c>
    </x:row>
    <x:row r="9">
      <x:c r="A9" s="55" t="str">
        <x:v>Taylor</x:v>
      </x:c>
      <x:c r="B9" s="56" t="str">
        <x:v>Smoothed and Forward-looking</x:v>
      </x:c>
      <x:c r="C9" s="56" t="str">
        <x:v>HLW</x:v>
      </x:c>
      <x:c r="D9" s="57" t="n">
        <x:v>4.235288421697744</x:v>
      </x:c>
      <x:c r="E9" s="57" t="n">
        <x:v>4.109999999999999</x:v>
      </x:c>
      <x:c r="F9" s="58" t="n">
        <x:f>IF(E9="","",D9-E9)</x:f>
        <x:v>0.12528842169774457</x:v>
      </x:c>
      <x:c r="G9" s="58" t="n">
        <x:f>D9-'Summary'!$B$5</x:f>
        <x:v>0.6052884216977441</x:v>
      </x:c>
      <x:c r="H9" s="59" t="str">
        <x:f>IF(D9&gt;'Summary'!$B$7,"Above range",IF(D9&lt;'Summary'!$B$6,"Below range","Within range"))</x:f>
        <x:v>Above range</x:v>
      </x:c>
    </x:row>
    <x:row r="10">
      <x:c r="A10" s="55" t="str">
        <x:v>NGDP</x:v>
      </x:c>
      <x:c r="B10" s="56" t="str">
        <x:v>Growth</x:v>
      </x:c>
      <x:c r="C10" s="56" t="str">
        <x:v>SEP</x:v>
      </x:c>
      <x:c r="D10" s="57" t="n">
        <x:v>4.2825</x:v>
      </x:c>
      <x:c r="E10" s="57" t="n">
        <x:v>3.9600000000000004</x:v>
      </x:c>
      <x:c r="F10" s="58" t="n">
        <x:f>IF(E10="","",D10-E10)</x:f>
        <x:v>0.32249999999999934</x:v>
      </x:c>
      <x:c r="G10" s="58" t="n">
        <x:f>D10-'Summary'!$B$5</x:f>
        <x:v>0.6524999999999999</x:v>
      </x:c>
      <x:c r="H10" s="59" t="str">
        <x:f>IF(D10&gt;'Summary'!$B$7,"Above range",IF(D10&lt;'Summary'!$B$6,"Below range","Within range"))</x:f>
        <x:v>Above range</x:v>
      </x:c>
    </x:row>
    <x:row r="11">
      <x:c r="A11" s="55" t="str">
        <x:v>NGDP</x:v>
      </x:c>
      <x:c r="B11" s="56" t="str">
        <x:v>Growth</x:v>
      </x:c>
      <x:c r="C11" s="56" t="str">
        <x:v>HLW</x:v>
      </x:c>
      <x:c r="D11" s="57" t="n">
        <x:v>4.24867330789656</x:v>
      </x:c>
      <x:c r="E11" s="57" t="n">
        <x:v>3.8600000000000003</x:v>
      </x:c>
      <x:c r="F11" s="58" t="n">
        <x:f>IF(E11="","",D11-E11)</x:f>
        <x:v>0.3886733078965596</x:v>
      </x:c>
      <x:c r="G11" s="58" t="n">
        <x:f>D11-'Summary'!$B$5</x:f>
        <x:v>0.61867330789656</x:v>
      </x:c>
      <x:c r="H11" s="59" t="str">
        <x:f>IF(D11&gt;'Summary'!$B$7,"Above range",IF(D11&lt;'Summary'!$B$6,"Below range","Within range"))</x:f>
        <x:v>Above range</x:v>
      </x:c>
    </x:row>
    <x:row r="12">
      <x:c r="A12" s="55" t="str">
        <x:v>NGDP</x:v>
      </x:c>
      <x:c r="B12" s="56" t="str">
        <x:v>Level</x:v>
      </x:c>
      <x:c r="C12" s="56" t="str">
        <x:v>SEP</x:v>
      </x:c>
      <x:c r="D12" s="57" t="n">
        <x:v>3.7925</x:v>
      </x:c>
      <x:c r="E12" s="57" t="n">
        <x:v>3.7900000000000005</x:v>
      </x:c>
      <x:c r="F12" s="58" t="n">
        <x:f>IF(E12="","",D12-E12)</x:f>
        <x:v>0.0024999999999995026</x:v>
      </x:c>
      <x:c r="G12" s="58" t="n">
        <x:f>D12-'Summary'!$B$5</x:f>
        <x:v>0.1625000000000001</x:v>
      </x:c>
      <x:c r="H12" s="59" t="str">
        <x:f>IF(D12&gt;'Summary'!$B$7,"Above range",IF(D12&lt;'Summary'!$B$6,"Below range","Within range"))</x:f>
        <x:v>Above range</x:v>
      </x:c>
    </x:row>
    <x:row r="13">
      <x:c r="A13" s="60" t="str">
        <x:v>NGDP</x:v>
      </x:c>
      <x:c r="B13" s="61" t="str">
        <x:v>Level</x:v>
      </x:c>
      <x:c r="C13" s="61" t="str">
        <x:v>HLW</x:v>
      </x:c>
      <x:c r="D13" s="62" t="n">
        <x:v>3.7586733078965597</x:v>
      </x:c>
      <x:c r="E13" s="62" t="n">
        <x:v>3.6900000000000004</x:v>
      </x:c>
      <x:c r="F13" s="63" t="n">
        <x:f>IF(E13="","",D13-E13)</x:f>
        <x:v>0.06867330789655934</x:v>
      </x:c>
      <x:c r="G13" s="63" t="n">
        <x:f>D13-'Summary'!$B$5</x:f>
        <x:v>0.12867330789655984</x:v>
      </x:c>
      <x:c r="H13" s="64" t="str">
        <x:f>IF(D13&gt;'Summary'!$B$7,"Above range",IF(D13&lt;'Summary'!$B$6,"Below range","Within range"))</x:f>
        <x:v>Above range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10" t="str">
        <x:v>Date</x:v>
      </x:c>
      <x:c r="B1" s="10" t="str">
        <x:v>Effective FFR</x:v>
      </x:c>
      <x:c r="C1" s="10" t="str">
        <x:v>Target Lower Bound</x:v>
      </x:c>
      <x:c r="D1" s="10" t="str">
        <x:v>Target Upper Bound</x:v>
      </x:c>
      <x:c r="E1" s="10" t="str">
        <x:v>Taylor</x:v>
      </x:c>
      <x:c r="F1" s="10" t="str">
        <x:v>Modified Taylor</x:v>
      </x:c>
      <x:c r="G1" s="10" t="str">
        <x:v>NGDP Growth</x:v>
      </x:c>
      <x:c r="H1" s="10" t="str">
        <x:v>NGDP Level</x:v>
      </x:c>
    </x:row>
    <x:row r="2">
      <x:c r="A2" s="68" t="n">
        <x:v>40954.5</x:v>
      </x:c>
      <x:c r="B2" s="24" t="n">
        <x:v>0.1033333333333333</x:v>
      </x:c>
      <x:c r="C2" s="24" t="n">
        <x:v>0</x:v>
      </x:c>
      <x:c r="D2" s="24" t="n">
        <x:v>0.25</x:v>
      </x:c>
      <x:c r="E2" s="24" t="n">
        <x:v>0.3821016681731235</x:v>
      </x:c>
      <x:c r="F2" s="24" t="n">
        <x:v>-0.269107221787717</x:v>
      </x:c>
      <x:c r="G2" s="24" t="n">
        <x:v>2.4730007673131067</x:v>
      </x:c>
      <x:c r="H2" s="24" t="n">
        <x:v>1.5109175379265982</x:v>
      </x:c>
    </x:row>
    <x:row r="3">
      <x:c r="A3" s="28" t="n">
        <x:v>41044.5</x:v>
      </x:c>
      <x:c r="B3" s="26" t="n">
        <x:v>0.1533333333333333</x:v>
      </x:c>
      <x:c r="C3" s="26" t="n">
        <x:v>0</x:v>
      </x:c>
      <x:c r="D3" s="26" t="n">
        <x:v>0.25</x:v>
      </x:c>
      <x:c r="E3" s="26" t="n">
        <x:v>-0.8326031227715198</x:v>
      </x:c>
      <x:c r="F3" s="26" t="n">
        <x:v>-0.1298814495718702</x:v>
      </x:c>
      <x:c r="G3" s="26" t="n">
        <x:v>1.2441062071424311</x:v>
      </x:c>
      <x:c r="H3" s="26" t="n">
        <x:v>1.4684014035591704</x:v>
      </x:c>
    </x:row>
    <x:row r="4">
      <x:c r="A4" s="28" t="n">
        <x:v>41136.5</x:v>
      </x:c>
      <x:c r="B4" s="26" t="n">
        <x:v>0.1433333333333333</x:v>
      </x:c>
      <x:c r="C4" s="26" t="n">
        <x:v>0</x:v>
      </x:c>
      <x:c r="D4" s="26" t="n">
        <x:v>0.25</x:v>
      </x:c>
      <x:c r="E4" s="26" t="n">
        <x:v>-1.1162925748105326</x:v>
      </x:c>
      <x:c r="F4" s="26" t="n">
        <x:v>-0.21746600953620332</x:v>
      </x:c>
      <x:c r="G4" s="26" t="n">
        <x:v>0.8433772703718136</x:v>
      </x:c>
      <x:c r="H4" s="26" t="n">
        <x:v>1.3117964304041492</x:v>
      </x:c>
    </x:row>
    <x:row r="5">
      <x:c r="A5" s="28" t="n">
        <x:v>41228.5</x:v>
      </x:c>
      <x:c r="B5" s="26" t="n">
        <x:v>0.16</x:v>
      </x:c>
      <x:c r="C5" s="26" t="n">
        <x:v>0</x:v>
      </x:c>
      <x:c r="D5" s="26" t="n">
        <x:v>0.25</x:v>
      </x:c>
      <x:c r="E5" s="26" t="n">
        <x:v>-0.5870868566785359</x:v>
      </x:c>
      <x:c r="F5" s="26" t="n">
        <x:v>-0.08034277791053557</x:v>
      </x:c>
      <x:c r="G5" s="26" t="n">
        <x:v>0.6646813974596116</x:v>
      </x:c>
      <x:c r="H5" s="26" t="n">
        <x:v>1.112870689089827</x:v>
      </x:c>
    </x:row>
    <x:row r="6">
      <x:c r="A6" s="28" t="n">
        <x:v>41320.5</x:v>
      </x:c>
      <x:c r="B6" s="26" t="n">
        <x:v>0.1433333333333333</x:v>
      </x:c>
      <x:c r="C6" s="26" t="n">
        <x:v>0</x:v>
      </x:c>
      <x:c r="D6" s="26" t="n">
        <x:v>0.25</x:v>
      </x:c>
      <x:c r="E6" s="26" t="n">
        <x:v>-0.9018337442522486</x:v>
      </x:c>
      <x:c r="F6" s="26" t="n">
        <x:v>-0.13723017681231836</x:v>
      </x:c>
      <x:c r="G6" s="26" t="n">
        <x:v>2.311508234309721</x:v>
      </x:c>
      <x:c r="H6" s="26" t="n">
        <x:v>1.4067171112193764</x:v>
      </x:c>
    </x:row>
    <x:row r="7">
      <x:c r="A7" s="28" t="n">
        <x:v>41409.5</x:v>
      </x:c>
      <x:c r="B7" s="26" t="n">
        <x:v>0.1166666666666667</x:v>
      </x:c>
      <x:c r="C7" s="26" t="n">
        <x:v>0</x:v>
      </x:c>
      <x:c r="D7" s="26" t="n">
        <x:v>0.25</x:v>
      </x:c>
      <x:c r="E7" s="26" t="n">
        <x:v>-1.1399096151533883</x:v>
      </x:c>
      <x:c r="F7" s="26" t="n">
        <x:v>-0.1429496752027558</x:v>
      </x:c>
      <x:c r="G7" s="26" t="n">
        <x:v>0.38147643487036864</x:v>
      </x:c>
      <x:c r="H7" s="26" t="n">
        <x:v>1.1231476334163726</x:v>
      </x:c>
    </x:row>
    <x:row r="8">
      <x:c r="A8" s="28" t="n">
        <x:v>41501.5</x:v>
      </x:c>
      <x:c r="B8" s="26" t="n">
        <x:v>0.08333333333333333</x:v>
      </x:c>
      <x:c r="C8" s="26" t="n">
        <x:v>0</x:v>
      </x:c>
      <x:c r="D8" s="26" t="n">
        <x:v>0.25</x:v>
      </x:c>
      <x:c r="E8" s="26" t="n">
        <x:v>-0.5499810738444617</x:v>
      </x:c>
      <x:c r="F8" s="26" t="n">
        <x:v>0.1109521430589202</x:v>
      </x:c>
      <x:c r="G8" s="26" t="n">
        <x:v>2.2006126257134824</x:v>
      </x:c>
      <x:c r="H8" s="26" t="n">
        <x:v>1.4310726448590645</x:v>
      </x:c>
    </x:row>
    <x:row r="9">
      <x:c r="A9" s="28" t="n">
        <x:v>41593.5</x:v>
      </x:c>
      <x:c r="B9" s="26" t="n">
        <x:v>0.08666666666666667</x:v>
      </x:c>
      <x:c r="C9" s="26" t="n">
        <x:v>0</x:v>
      </x:c>
      <x:c r="D9" s="26" t="n">
        <x:v>0.25</x:v>
      </x:c>
      <x:c r="E9" s="26" t="n">
        <x:v>-0.4745849785112586</x:v>
      </x:c>
      <x:c r="F9" s="26" t="n">
        <x:v>0.23494109456178083</x:v>
      </x:c>
      <x:c r="G9" s="26" t="n">
        <x:v>2.348726332287194</x:v>
      </x:c>
      <x:c r="H9" s="26" t="n">
        <x:v>1.6834054445733253</x:v>
      </x:c>
    </x:row>
    <x:row r="10">
      <x:c r="A10" s="28" t="n">
        <x:v>41685.5</x:v>
      </x:c>
      <x:c r="B10" s="26" t="n">
        <x:v>0.07333333333333335</x:v>
      </x:c>
      <x:c r="C10" s="26" t="n">
        <x:v>0</x:v>
      </x:c>
      <x:c r="D10" s="26" t="n">
        <x:v>0.25</x:v>
      </x:c>
      <x:c r="E10" s="26" t="n">
        <x:v>-0.3331052144195261</x:v>
      </x:c>
      <x:c r="F10" s="26" t="n">
        <x:v>0.07481014268004305</x:v>
      </x:c>
      <x:c r="G10" s="26" t="n">
        <x:v>-0.5838783808387616</x:v>
      </x:c>
      <x:c r="H10" s="26" t="n">
        <x:v>1.035252161605087</x:v>
      </x:c>
    </x:row>
    <x:row r="11">
      <x:c r="A11" s="28" t="n">
        <x:v>41774.5</x:v>
      </x:c>
      <x:c r="B11" s="26" t="n">
        <x:v>0.09333333333333334</x:v>
      </x:c>
      <x:c r="C11" s="26" t="n">
        <x:v>0</x:v>
      </x:c>
      <x:c r="D11" s="26" t="n">
        <x:v>0.25</x:v>
      </x:c>
      <x:c r="E11" s="26" t="n">
        <x:v>0.98945312280034</x:v>
      </x:c>
      <x:c r="F11" s="26" t="n">
        <x:v>0.5334493888278254</x:v>
      </x:c>
      <x:c r="G11" s="26" t="n">
        <x:v>3.3120010781102565</x:v>
      </x:c>
      <x:c r="H11" s="26" t="n">
        <x:v>1.6011693728985912</x:v>
      </x:c>
    </x:row>
    <x:row r="12">
      <x:c r="A12" s="28" t="n">
        <x:v>41866.5</x:v>
      </x:c>
      <x:c r="B12" s="26" t="n">
        <x:v>0.09000000000000001</x:v>
      </x:c>
      <x:c r="C12" s="26" t="n">
        <x:v>0</x:v>
      </x:c>
      <x:c r="D12" s="26" t="n">
        <x:v>0.25</x:v>
      </x:c>
      <x:c r="E12" s="26" t="n">
        <x:v>0.9997098066219077</x:v>
      </x:c>
      <x:c r="F12" s="26" t="n">
        <x:v>0.8470291642922179</x:v>
      </x:c>
      <x:c r="G12" s="26" t="n">
        <x:v>2.8816371357637953</x:v>
      </x:c>
      <x:c r="H12" s="26" t="n">
        <x:v>1.9182097143098702</x:v>
      </x:c>
    </x:row>
    <x:row r="13">
      <x:c r="A13" s="28" t="n">
        <x:v>41958.5</x:v>
      </x:c>
      <x:c r="B13" s="26" t="n">
        <x:v>0.09999999999999999</x:v>
      </x:c>
      <x:c r="C13" s="26" t="n">
        <x:v>0</x:v>
      </x:c>
      <x:c r="D13" s="26" t="n">
        <x:v>0.25</x:v>
      </x:c>
      <x:c r="E13" s="26" t="n">
        <x:v>0.47859827231595053</x:v>
      </x:c>
      <x:c r="F13" s="26" t="n">
        <x:v>0.7188351054736</x:v>
      </x:c>
      <x:c r="G13" s="26" t="n">
        <x:v>0.7083096976844404</x:v>
      </x:c>
      <x:c r="H13" s="26" t="n">
        <x:v>1.4926102228359504</x:v>
      </x:c>
    </x:row>
    <x:row r="14">
      <x:c r="A14" s="28" t="n">
        <x:v>42050.5</x:v>
      </x:c>
      <x:c r="B14" s="26" t="n">
        <x:v>0.11</x:v>
      </x:c>
      <x:c r="C14" s="26" t="n">
        <x:v>0</x:v>
      </x:c>
      <x:c r="D14" s="26" t="n">
        <x:v>0.25</x:v>
      </x:c>
      <x:c r="E14" s="26" t="n">
        <x:v>-0.7340946173657777</x:v>
      </x:c>
      <x:c r="F14" s="26" t="n">
        <x:v>0.4236881519221628</x:v>
      </x:c>
      <x:c r="G14" s="26" t="n">
        <x:v>1.2091953231133175</x:v>
      </x:c>
      <x:c r="H14" s="26" t="n">
        <x:v>1.3489866455794035</x:v>
      </x:c>
    </x:row>
    <x:row r="15">
      <x:c r="A15" s="28" t="n">
        <x:v>42139.5</x:v>
      </x:c>
      <x:c r="B15" s="26" t="n">
        <x:v>0.1233333333333333</x:v>
      </x:c>
      <x:c r="C15" s="26" t="n">
        <x:v>0</x:v>
      </x:c>
      <x:c r="D15" s="26" t="n">
        <x:v>0.25</x:v>
      </x:c>
      <x:c r="E15" s="26" t="n">
        <x:v>-0.4841006726035403</x:v>
      </x:c>
      <x:c r="F15" s="26" t="n">
        <x:v>0.9278858242904965</x:v>
      </x:c>
      <x:c r="G15" s="26" t="n">
        <x:v>1.9833615711902415</x:v>
      </x:c>
      <x:c r="H15" s="26" t="n">
        <x:v>1.4833776928734979</x:v>
      </x:c>
    </x:row>
    <x:row r="16">
      <x:c r="A16" s="28" t="n">
        <x:v>42231.5</x:v>
      </x:c>
      <x:c r="B16" s="26" t="n">
        <x:v>0.1366666666666667</x:v>
      </x:c>
      <x:c r="C16" s="26" t="n">
        <x:v>0</x:v>
      </x:c>
      <x:c r="D16" s="26" t="n">
        <x:v>0.25</x:v>
      </x:c>
      <x:c r="E16" s="26" t="n">
        <x:v>-0.26378976740916116</x:v>
      </x:c>
      <x:c r="F16" s="26" t="n">
        <x:v>1.056122447784881</x:v>
      </x:c>
      <x:c r="G16" s="26" t="n">
        <x:v>0.8636563204683402</x:v>
      </x:c>
      <x:c r="H16" s="26" t="n">
        <x:v>1.1987918009063918</x:v>
      </x:c>
    </x:row>
    <x:row r="17">
      <x:c r="A17" s="28" t="n">
        <x:v>42323.5</x:v>
      </x:c>
      <x:c r="B17" s="26" t="n">
        <x:v>0.16</x:v>
      </x:c>
      <x:c r="C17" s="26" t="n">
        <x:v>0</x:v>
      </x:c>
      <x:c r="D17" s="26" t="n">
        <x:v>0.25</x:v>
      </x:c>
      <x:c r="E17" s="26" t="n">
        <x:v>-0.23614697533535844</x:v>
      </x:c>
      <x:c r="F17" s="26" t="n">
        <x:v>0.9199199231276465</x:v>
      </x:c>
      <x:c r="G17" s="26" t="n">
        <x:v>-0.1607304136422616</x:v>
      </x:c>
      <x:c r="H17" s="26" t="n">
        <x:v>0.7968791840455428</x:v>
      </x:c>
    </x:row>
    <x:row r="18">
      <x:c r="A18" s="28" t="n">
        <x:v>42415.5</x:v>
      </x:c>
      <x:c r="B18" s="26" t="n">
        <x:v>0.36</x:v>
      </x:c>
      <x:c r="C18" s="26" t="n">
        <x:v>0.25</x:v>
      </x:c>
      <x:c r="D18" s="26" t="n">
        <x:v>0.5</x:v>
      </x:c>
      <x:c r="E18" s="26" t="n">
        <x:v>0.7334421511508613</x:v>
      </x:c>
      <x:c r="F18" s="26" t="n">
        <x:v>0.9387744256063996</x:v>
      </x:c>
      <x:c r="G18" s="26" t="n">
        <x:v>0.5279087843499429</x:v>
      </x:c>
      <x:c r="H18" s="26" t="n">
        <x:v>0.792972259493103</x:v>
      </x:c>
    </x:row>
    <x:row r="19">
      <x:c r="A19" s="28" t="n">
        <x:v>42505.5</x:v>
      </x:c>
      <x:c r="B19" s="26" t="n">
        <x:v>0.3733333333333334</x:v>
      </x:c>
      <x:c r="C19" s="26" t="n">
        <x:v>0.25</x:v>
      </x:c>
      <x:c r="D19" s="26" t="n">
        <x:v>0.5</x:v>
      </x:c>
      <x:c r="E19" s="26" t="n">
        <x:v>0.911804377260435</x:v>
      </x:c>
      <x:c r="F19" s="26" t="n">
        <x:v>1.313982466746617</x:v>
      </x:c>
      <x:c r="G19" s="26" t="n">
        <x:v>1.6837063217905477</x:v>
      </x:c>
      <x:c r="H19" s="26" t="n">
        <x:v>1.0436437852534208</x:v>
      </x:c>
    </x:row>
    <x:row r="20">
      <x:c r="A20" s="28" t="n">
        <x:v>42597.5</x:v>
      </x:c>
      <x:c r="B20" s="26" t="n">
        <x:v>0.3966666666666667</x:v>
      </x:c>
      <x:c r="C20" s="26" t="n">
        <x:v>0.25</x:v>
      </x:c>
      <x:c r="D20" s="26" t="n">
        <x:v>0.5</x:v>
      </x:c>
      <x:c r="E20" s="26" t="n">
        <x:v>1.0907355719263059</x:v>
      </x:c>
      <x:c r="F20" s="26" t="n">
        <x:v>1.3737327141425666</x:v>
      </x:c>
      <x:c r="G20" s="26" t="n">
        <x:v>1.6341492077661843</x:v>
      </x:c>
      <x:c r="H20" s="26" t="n">
        <x:v>1.2438095135062703</x:v>
      </x:c>
    </x:row>
    <x:row r="21">
      <x:c r="A21" s="28" t="n">
        <x:v>42689.5</x:v>
      </x:c>
      <x:c r="B21" s="26" t="n">
        <x:v>0.45</x:v>
      </x:c>
      <x:c r="C21" s="26" t="n">
        <x:v>0.25</x:v>
      </x:c>
      <x:c r="D21" s="26" t="n">
        <x:v>0.5</x:v>
      </x:c>
      <x:c r="E21" s="26" t="n">
        <x:v>1.9771502632471236</x:v>
      </x:c>
      <x:c r="F21" s="26" t="n">
        <x:v>1.472265711977446</x:v>
      </x:c>
      <x:c r="G21" s="26" t="n">
        <x:v>1.780489771680438</x:v>
      </x:c>
      <x:c r="H21" s="26" t="n">
        <x:v>1.4551833215983039</x:v>
      </x:c>
    </x:row>
    <x:row r="22">
      <x:c r="A22" s="28" t="n">
        <x:v>42781.5</x:v>
      </x:c>
      <x:c r="B22" s="26" t="n">
        <x:v>0.7000000000000001</x:v>
      </x:c>
      <x:c r="C22" s="26" t="n">
        <x:v>0.5</x:v>
      </x:c>
      <x:c r="D22" s="26" t="n">
        <x:v>0.75</x:v>
      </x:c>
      <x:c r="E22" s="26" t="n">
        <x:v>2.988700104156327</x:v>
      </x:c>
      <x:c r="F22" s="26" t="n">
        <x:v>1.710996031261</x:v>
      </x:c>
      <x:c r="G22" s="26" t="n">
        <x:v>1.7272747602018097</x:v>
      </x:c>
      <x:c r="H22" s="26" t="n">
        <x:v>1.6495971610258024</x:v>
      </x:c>
    </x:row>
    <x:row r="23">
      <x:c r="A23" s="28" t="n">
        <x:v>42870.5</x:v>
      </x:c>
      <x:c r="B23" s="26" t="n">
        <x:v>0.9500000000000001</x:v>
      </x:c>
      <x:c r="C23" s="26" t="n">
        <x:v>0.75</x:v>
      </x:c>
      <x:c r="D23" s="26" t="n">
        <x:v>1</x:v>
      </x:c>
      <x:c r="E23" s="26" t="n">
        <x:v>2.4628435534217945</x:v>
      </x:c>
      <x:c r="F23" s="26" t="n">
        <x:v>1.7411351725916586</x:v>
      </x:c>
      <x:c r="G23" s="26" t="n">
        <x:v>1.4654252215648507</x:v>
      </x:c>
      <x:c r="H23" s="26" t="n">
        <x:v>1.6560567339878405</x:v>
      </x:c>
    </x:row>
    <x:row r="24">
      <x:c r="A24" s="28" t="n">
        <x:v>42962.5</x:v>
      </x:c>
      <x:c r="B24" s="26" t="n">
        <x:v>1.153333333333333</x:v>
      </x:c>
      <x:c r="C24" s="26" t="n">
        <x:v>1</x:v>
      </x:c>
      <x:c r="D24" s="26" t="n">
        <x:v>1.25</x:v>
      </x:c>
      <x:c r="E24" s="26" t="n">
        <x:v>2.5243682198372355</x:v>
      </x:c>
      <x:c r="F24" s="26" t="n">
        <x:v>1.8932702644015555</x:v>
      </x:c>
      <x:c r="G24" s="26" t="n">
        <x:v>2.6051431101121785</x:v>
      </x:c>
      <x:c r="H24" s="26" t="n">
        <x:v>1.9391698489070262</x:v>
      </x:c>
    </x:row>
    <x:row r="25">
      <x:c r="A25" s="28" t="n">
        <x:v>43054.5</x:v>
      </x:c>
      <x:c r="B25" s="26" t="n">
        <x:v>1.203333333333333</x:v>
      </x:c>
      <x:c r="C25" s="26" t="n">
        <x:v>1</x:v>
      </x:c>
      <x:c r="D25" s="26" t="n">
        <x:v>1.25</x:v>
      </x:c>
      <x:c r="E25" s="26" t="n">
        <x:v>3.0763680923650623</x:v>
      </x:c>
      <x:c r="F25" s="26" t="n">
        <x:v>2.1786604521553508</x:v>
      </x:c>
      <x:c r="G25" s="26" t="n">
        <x:v>3.7223201668443515</x:v>
      </x:c>
      <x:c r="H25" s="26" t="n">
        <x:v>2.466710803568852</x:v>
      </x:c>
    </x:row>
    <x:row r="26">
      <x:c r="A26" s="28" t="n">
        <x:v>43146.5</x:v>
      </x:c>
      <x:c r="B26" s="26" t="n">
        <x:v>1.446666666666667</x:v>
      </x:c>
      <x:c r="C26" s="26" t="n">
        <x:v>1.25</x:v>
      </x:c>
      <x:c r="D26" s="26" t="n">
        <x:v>1.5</x:v>
      </x:c>
      <x:c r="E26" s="26" t="n">
        <x:v>3.5044501001423702</x:v>
      </x:c>
      <x:c r="F26" s="26" t="n">
        <x:v>2.421458100058985</x:v>
      </x:c>
      <x:c r="G26" s="26" t="n">
        <x:v>3.191565137274937</x:v>
      </x:c>
      <x:c r="H26" s="26" t="n">
        <x:v>2.6326450868462357</x:v>
      </x:c>
    </x:row>
    <x:row r="27">
      <x:c r="A27" s="28" t="n">
        <x:v>43235.5</x:v>
      </x:c>
      <x:c r="B27" s="26" t="n">
        <x:v>1.736666666666667</x:v>
      </x:c>
      <x:c r="C27" s="26" t="n">
        <x:v>1.5</x:v>
      </x:c>
      <x:c r="D27" s="26" t="n">
        <x:v>1.75</x:v>
      </x:c>
      <x:c r="E27" s="26" t="n">
        <x:v>4.059853739362089</x:v>
      </x:c>
      <x:c r="F27" s="26" t="n">
        <x:v>2.6264616184932414</x:v>
      </x:c>
      <x:c r="G27" s="26" t="n">
        <x:v>2.856178046918224</x:v>
      </x:c>
      <x:c r="H27" s="26" t="n">
        <x:v>2.7175287170657243</x:v>
      </x:c>
    </x:row>
    <x:row r="28">
      <x:c r="A28" s="28" t="n">
        <x:v>43327.5</x:v>
      </x:c>
      <x:c r="B28" s="26" t="n">
        <x:v>1.923333333333333</x:v>
      </x:c>
      <x:c r="C28" s="26" t="n">
        <x:v>1.75</x:v>
      </x:c>
      <x:c r="D28" s="26" t="n">
        <x:v>2</x:v>
      </x:c>
      <x:c r="E28" s="26" t="n">
        <x:v>4.119458979190385</x:v>
      </x:c>
      <x:c r="F28" s="26" t="n">
        <x:v>2.83704791988533</x:v>
      </x:c>
      <x:c r="G28" s="26" t="n">
        <x:v>2.5895288817549833</x:v>
      </x:c>
      <x:c r="H28" s="26" t="n">
        <x:v>2.6843498849037815</x:v>
      </x:c>
    </x:row>
    <x:row r="29">
      <x:c r="A29" s="28" t="n">
        <x:v>43419.5</x:v>
      </x:c>
      <x:c r="B29" s="26" t="n">
        <x:v>2.22</x:v>
      </x:c>
      <x:c r="C29" s="26" t="n">
        <x:v>2</x:v>
      </x:c>
      <x:c r="D29" s="26" t="n">
        <x:v>2.25</x:v>
      </x:c>
      <x:c r="E29" s="26" t="n">
        <x:v>3.6515046460325964</x:v>
      </x:c>
      <x:c r="F29" s="26" t="n">
        <x:v>2.937190023228269</x:v>
      </x:c>
      <x:c r="G29" s="26" t="n">
        <x:v>1.6593051762157365</x:v>
      </x:c>
      <x:c r="H29" s="26" t="n">
        <x:v>2.3062721822743066</x:v>
      </x:c>
    </x:row>
    <x:row r="30">
      <x:c r="A30" s="28" t="n">
        <x:v>43511.5</x:v>
      </x:c>
      <x:c r="B30" s="26" t="n">
        <x:v>2.403333333333333</x:v>
      </x:c>
      <x:c r="C30" s="26" t="n">
        <x:v>2.25</x:v>
      </x:c>
      <x:c r="D30" s="26" t="n">
        <x:v>2.5</x:v>
      </x:c>
      <x:c r="E30" s="26" t="n">
        <x:v>2.874131003635641</x:v>
      </x:c>
      <x:c r="F30" s="26" t="n">
        <x:v>2.9078590231844466</x:v>
      </x:c>
      <x:c r="G30" s="26" t="n">
        <x:v>2.53864341878802</x:v>
      </x:c>
      <x:c r="H30" s="26" t="n">
        <x:v>2.298473853613528</x:v>
      </x:c>
    </x:row>
    <x:row r="31">
      <x:c r="A31" s="28" t="n">
        <x:v>43600.5</x:v>
      </x:c>
      <x:c r="B31" s="26" t="n">
        <x:v>2.396666666666667</x:v>
      </x:c>
      <x:c r="C31" s="26" t="n">
        <x:v>2.25</x:v>
      </x:c>
      <x:c r="D31" s="26" t="n">
        <x:v>2.5</x:v>
      </x:c>
      <x:c r="E31" s="26" t="n">
        <x:v>3.238296321185564</x:v>
      </x:c>
      <x:c r="F31" s="26" t="n">
        <x:v>3.227206100793783</x:v>
      </x:c>
      <x:c r="G31" s="26" t="n">
        <x:v>3.5623191319959266</x:v>
      </x:c>
      <x:c r="H31" s="26" t="n">
        <x:v>2.6031092734506265</x:v>
      </x:c>
    </x:row>
    <x:row r="32">
      <x:c r="A32" s="28" t="n">
        <x:v>43692.5</x:v>
      </x:c>
      <x:c r="B32" s="26" t="n">
        <x:v>2.19</x:v>
      </x:c>
      <x:c r="C32" s="26" t="n">
        <x:v>2</x:v>
      </x:c>
      <x:c r="D32" s="26" t="n">
        <x:v>2.25</x:v>
      </x:c>
      <x:c r="E32" s="26" t="n">
        <x:v>3.24553377785381</x:v>
      </x:c>
      <x:c r="F32" s="26" t="n">
        <x:v>3.1606999569765</x:v>
      </x:c>
      <x:c r="G32" s="26" t="n">
        <x:v>3.902589940807384</x:v>
      </x:c>
      <x:c r="H32" s="26" t="n">
        <x:v>2.95609032848767</x:v>
      </x:c>
    </x:row>
    <x:row r="33">
      <x:c r="A33" s="28" t="n">
        <x:v>43784.5</x:v>
      </x:c>
      <x:c r="B33" s="26" t="n">
        <x:v>1.643333333333333</x:v>
      </x:c>
      <x:c r="C33" s="26" t="n">
        <x:v>1.5</x:v>
      </x:c>
      <x:c r="D33" s="26" t="n">
        <x:v>1.75</x:v>
      </x:c>
      <x:c r="E33" s="26" t="n">
        <x:v>3.2448534530401165</x:v>
      </x:c>
      <x:c r="F33" s="26" t="n">
        <x:v>3.0725231911023574</x:v>
      </x:c>
      <x:c r="G33" s="26" t="n">
        <x:v>2.75932878910821</x:v>
      </x:c>
      <x:c r="H33" s="26" t="n">
        <x:v>2.9086345451713687</x:v>
      </x:c>
    </x:row>
    <x:row r="34">
      <x:c r="A34" s="28" t="n">
        <x:v>43876.5</x:v>
      </x:c>
      <x:c r="B34" s="26" t="n">
        <x:v>1.26</x:v>
      </x:c>
      <x:c r="C34" s="26" t="n">
        <x:v>1.5</x:v>
      </x:c>
      <x:c r="D34" s="26" t="n">
        <x:v>1.75</x:v>
      </x:c>
      <x:c r="E34" s="26" t="n">
        <x:v>3.249229134445158</x:v>
      </x:c>
      <x:c r="F34" s="26" t="n">
        <x:v>2.6732481347274724</x:v>
      </x:c>
      <x:c r="G34" s="26" t="n">
        <x:v>-1.1572899638753935</x:v>
      </x:c>
      <x:c r="H34" s="26" t="n">
        <x:v>1.7625797488866375</x:v>
      </x:c>
    </x:row>
    <x:row r="35">
      <x:c r="A35" s="28" t="n">
        <x:v>43966.5</x:v>
      </x:c>
      <x:c r="B35" s="26" t="n">
        <x:v>0.06</x:v>
      </x:c>
      <x:c r="C35" s="26" t="n">
        <x:v>0</x:v>
      </x:c>
      <x:c r="D35" s="26" t="n">
        <x:v>0.25</x:v>
      </x:c>
      <x:c r="E35" s="26" t="n">
        <x:v>-7.42204423386461</x:v>
      </x:c>
      <x:c r="F35" s="26" t="n">
        <x:v>-2.9496719028354406</x:v>
      </x:c>
      <x:c r="G35" s="26" t="n">
        <x:v>-14.283053660277126</x:v>
      </x:c>
      <x:c r="H35" s="26" t="n">
        <x:v>-1.9535037688805081</x:v>
      </x:c>
    </x:row>
    <x:row r="36">
      <x:c r="A36" s="28" t="n">
        <x:v>44058.5</x:v>
      </x:c>
      <x:c r="B36" s="26" t="n">
        <x:v>0.09333333333333334</x:v>
      </x:c>
      <x:c r="C36" s="26" t="n">
        <x:v>0</x:v>
      </x:c>
      <x:c r="D36" s="26" t="n">
        <x:v>0.25</x:v>
      </x:c>
      <x:c r="E36" s="26" t="n">
        <x:v>-2.335452714831879</x:v>
      </x:c>
      <x:c r="F36" s="26" t="n">
        <x:v>-0.8932536683666039</x:v>
      </x:c>
      <x:c r="G36" s="26" t="n">
        <x:v>19.638965967167202</x:v>
      </x:c>
      <x:c r="H36" s="26" t="n">
        <x:v>1.4875560083933397</x:v>
      </x:c>
    </x:row>
    <x:row r="37">
      <x:c r="A37" s="28" t="n">
        <x:v>44150.5</x:v>
      </x:c>
      <x:c r="B37" s="26" t="n">
        <x:v>0.09000000000000001</x:v>
      </x:c>
      <x:c r="C37" s="26" t="n">
        <x:v>0</x:v>
      </x:c>
      <x:c r="D37" s="26" t="n">
        <x:v>0.25</x:v>
      </x:c>
      <x:c r="E37" s="26" t="n">
        <x:v>-0.14989594210499968</x:v>
      </x:c>
      <x:c r="F37" s="26" t="n">
        <x:v>0.42314436740906963</x:v>
      </x:c>
      <x:c r="G37" s="26" t="n">
        <x:v>3.335564646194587</x:v>
      </x:c>
      <x:c r="H37" s="26" t="n">
        <x:v>2.071119019008547</x:v>
      </x:c>
    </x:row>
    <x:row r="38">
      <x:c r="A38" s="28" t="n">
        <x:v>44242.5</x:v>
      </x:c>
      <x:c r="B38" s="26" t="n">
        <x:v>0.08</x:v>
      </x:c>
      <x:c r="C38" s="26" t="n">
        <x:v>0</x:v>
      </x:c>
      <x:c r="D38" s="26" t="n">
        <x:v>0.25</x:v>
      </x:c>
      <x:c r="E38" s="26" t="n">
        <x:v>1.7152292424199764</x:v>
      </x:c>
      <x:c r="F38" s="26" t="n">
        <x:v>0.8955301722564287</x:v>
      </x:c>
      <x:c r="G38" s="26" t="n">
        <x:v>5.37133346420406</x:v>
      </x:c>
      <x:c r="H38" s="26" t="n">
        <x:v>3.124647614470523</x:v>
      </x:c>
    </x:row>
    <x:row r="39">
      <x:c r="A39" s="28" t="n">
        <x:v>44331.5</x:v>
      </x:c>
      <x:c r="B39" s="26" t="n">
        <x:v>0.07</x:v>
      </x:c>
      <x:c r="C39" s="26" t="n">
        <x:v>0</x:v>
      </x:c>
      <x:c r="D39" s="26" t="n">
        <x:v>0.25</x:v>
      </x:c>
      <x:c r="E39" s="26" t="n">
        <x:v>5.046973960113488</x:v>
      </x:c>
      <x:c r="F39" s="26" t="n">
        <x:v>1.3809963167664798</x:v>
      </x:c>
      <x:c r="G39" s="26" t="n">
        <x:v>6.703979730252985</x:v>
      </x:c>
      <x:c r="H39" s="26" t="n">
        <x:v>4.033462291360707</x:v>
      </x:c>
    </x:row>
    <x:row r="40">
      <x:c r="A40" s="28" t="n">
        <x:v>44423.5</x:v>
      </x:c>
      <x:c r="B40" s="26" t="n">
        <x:v>0.09000000000000001</x:v>
      </x:c>
      <x:c r="C40" s="26" t="n">
        <x:v>0</x:v>
      </x:c>
      <x:c r="D40" s="26" t="n">
        <x:v>0.25</x:v>
      </x:c>
      <x:c r="E40" s="26" t="n">
        <x:v>6.750191968176389</x:v>
      </x:c>
      <x:c r="F40" s="26" t="n">
        <x:v>2.0336362447298733</x:v>
      </x:c>
      <x:c r="G40" s="26" t="n">
        <x:v>4.698405383976935</x:v>
      </x:c>
      <x:c r="H40" s="26" t="n">
        <x:v>3.3678809268174357</x:v>
      </x:c>
    </x:row>
    <x:row r="41">
      <x:c r="A41" s="28" t="n">
        <x:v>44515.5</x:v>
      </x:c>
      <x:c r="B41" s="26" t="n">
        <x:v>0.08</x:v>
      </x:c>
      <x:c r="C41" s="26" t="n">
        <x:v>0</x:v>
      </x:c>
      <x:c r="D41" s="26" t="n">
        <x:v>0.25</x:v>
      </x:c>
      <x:c r="E41" s="26" t="n">
        <x:v>9.713306579330013</x:v>
      </x:c>
      <x:c r="F41" s="26" t="n">
        <x:v>2.74313325126718</x:v>
      </x:c>
      <x:c r="G41" s="26" t="n">
        <x:v>7.215051167427025</x:v>
      </x:c>
      <x:c r="H41" s="26" t="n">
        <x:v>3.6462686009023013</x:v>
      </x:c>
    </x:row>
    <x:row r="42">
      <x:c r="A42" s="28" t="n">
        <x:v>44607.5</x:v>
      </x:c>
      <x:c r="B42" s="26" t="n">
        <x:v>0.12</x:v>
      </x:c>
      <x:c r="C42" s="26" t="n">
        <x:v>0</x:v>
      </x:c>
      <x:c r="D42" s="26" t="n">
        <x:v>0.25</x:v>
      </x:c>
      <x:c r="E42" s="26" t="n">
        <x:v>10.901330628521716</x:v>
      </x:c>
      <x:c r="F42" s="26" t="n">
        <x:v>2.948983840081961</x:v>
      </x:c>
      <x:c r="G42" s="26" t="n">
        <x:v>3.3883401903792447</x:v>
      </x:c>
      <x:c r="H42" s="26" t="n">
        <x:v>2.897151272734766</x:v>
      </x:c>
    </x:row>
    <x:row r="43">
      <x:c r="A43" s="28" t="n">
        <x:v>44696.5</x:v>
      </x:c>
      <x:c r="B43" s="26" t="n">
        <x:v>0.77</x:v>
      </x:c>
      <x:c r="C43" s="26" t="n">
        <x:v>0.75</x:v>
      </x:c>
      <x:c r="D43" s="26" t="n">
        <x:v>1</x:v>
      </x:c>
      <x:c r="E43" s="26" t="n">
        <x:v>11.395479915607341</x:v>
      </x:c>
      <x:c r="F43" s="26" t="n">
        <x:v>3.4851348404718157</x:v>
      </x:c>
      <x:c r="G43" s="26" t="n">
        <x:v>4.70552334267994</x:v>
      </x:c>
      <x:c r="H43" s="26" t="n">
        <x:v>2.6279746808098974</x:v>
      </x:c>
    </x:row>
    <x:row r="44">
      <x:c r="A44" s="28" t="n">
        <x:v>44788.5</x:v>
      </x:c>
      <x:c r="B44" s="26" t="n">
        <x:v>2.19</x:v>
      </x:c>
      <x:c r="C44" s="26" t="n">
        <x:v>2.25</x:v>
      </x:c>
      <x:c r="D44" s="26" t="n">
        <x:v>2.5</x:v>
      </x:c>
      <x:c r="E44" s="26" t="n">
        <x:v>11.248537740847466</x:v>
      </x:c>
      <x:c r="F44" s="26" t="n">
        <x:v>3.7458792174314564</x:v>
      </x:c>
      <x:c r="G44" s="26" t="n">
        <x:v>3.83478458676203</x:v>
      </x:c>
      <x:c r="H44" s="26" t="n">
        <x:v>2.817515105718691</x:v>
      </x:c>
    </x:row>
    <x:row r="45">
      <x:c r="A45" s="28" t="n">
        <x:v>44880.5</x:v>
      </x:c>
      <x:c r="B45" s="26" t="n">
        <x:v>3.653333333333333</x:v>
      </x:c>
      <x:c r="C45" s="26" t="n">
        <x:v>3.75</x:v>
      </x:c>
      <x:c r="D45" s="26" t="n">
        <x:v>4</x:v>
      </x:c>
      <x:c r="E45" s="26" t="n">
        <x:v>10.123793845314218</x:v>
      </x:c>
      <x:c r="F45" s="26" t="n">
        <x:v>4.326783272555097</x:v>
      </x:c>
      <x:c r="G45" s="26" t="n">
        <x:v>4.11856904466292</x:v>
      </x:c>
      <x:c r="H45" s="26" t="n">
        <x:v>3.422357884635474</x:v>
      </x:c>
    </x:row>
    <x:row r="46">
      <x:c r="A46" s="28" t="n">
        <x:v>44972.5</x:v>
      </x:c>
      <x:c r="B46" s="26" t="n">
        <x:v>4.516666666666667</x:v>
      </x:c>
      <x:c r="C46" s="26" t="n">
        <x:v>4.5</x:v>
      </x:c>
      <x:c r="D46" s="26" t="n">
        <x:v>4.75</x:v>
      </x:c>
      <x:c r="E46" s="26" t="n">
        <x:v>8.668830270727176</x:v>
      </x:c>
      <x:c r="F46" s="26" t="n">
        <x:v>4.517366963722702</x:v>
      </x:c>
      <x:c r="G46" s="26" t="n">
        <x:v>4.865779144624146</x:v>
      </x:c>
      <x:c r="H46" s="26" t="n">
        <x:v>4.056618917425053</x:v>
      </x:c>
    </x:row>
    <x:row r="47">
      <x:c r="A47" s="28" t="n">
        <x:v>45061.5</x:v>
      </x:c>
      <x:c r="B47" s="26" t="n">
        <x:v>4.99</x:v>
      </x:c>
      <x:c r="C47" s="26" t="n">
        <x:v>5</x:v>
      </x:c>
      <x:c r="D47" s="26" t="n">
        <x:v>5.25</x:v>
      </x:c>
      <x:c r="E47" s="26" t="n">
        <x:v>6.862849902713428</x:v>
      </x:c>
      <x:c r="F47" s="26" t="n">
        <x:v>4.963107184915492</x:v>
      </x:c>
      <x:c r="G47" s="26" t="n">
        <x:v>4.169634460548068</x:v>
      </x:c>
      <x:c r="H47" s="26" t="n">
        <x:v>4.283688507446988</x:v>
      </x:c>
    </x:row>
    <x:row r="48">
      <x:c r="A48" s="28" t="n">
        <x:v>45153.5</x:v>
      </x:c>
      <x:c r="B48" s="26" t="n">
        <x:v>5.26</x:v>
      </x:c>
      <x:c r="C48" s="26" t="n">
        <x:v>5.25</x:v>
      </x:c>
      <x:c r="D48" s="26" t="n">
        <x:v>5.5</x:v>
      </x:c>
      <x:c r="E48" s="26" t="n">
        <x:v>5.9689194507047</x:v>
      </x:c>
      <x:c r="F48" s="26" t="n">
        <x:v>4.873540848877008</x:v>
      </x:c>
      <x:c r="G48" s="26" t="n">
        <x:v>6.112845928592585</x:v>
      </x:c>
      <x:c r="H48" s="26" t="n">
        <x:v>4.814106443197892</x:v>
      </x:c>
    </x:row>
    <x:row r="49">
      <x:c r="A49" s="28" t="n">
        <x:v>45245.5</x:v>
      </x:c>
      <x:c r="B49" s="26" t="n">
        <x:v>5.33</x:v>
      </x:c>
      <x:c r="C49" s="26" t="n">
        <x:v>5.25</x:v>
      </x:c>
      <x:c r="D49" s="26" t="n">
        <x:v>5.5</x:v>
      </x:c>
      <x:c r="E49" s="26" t="n">
        <x:v>4.834567537088672</x:v>
      </x:c>
      <x:c r="F49" s="26" t="n">
        <x:v>4.813339750383399</x:v>
      </x:c>
      <x:c r="G49" s="26" t="n">
        <x:v>4.6616563331953005</x:v>
      </x:c>
      <x:c r="H49" s="26" t="n">
        <x:v>4.840476054582393</x:v>
      </x:c>
    </x:row>
    <x:row r="50">
      <x:c r="A50" s="28" t="n">
        <x:v>45337.5</x:v>
      </x:c>
      <x:c r="B50" s="26" t="n">
        <x:v>5.33</x:v>
      </x:c>
      <x:c r="C50" s="26" t="n">
        <x:v>5.25</x:v>
      </x:c>
      <x:c r="D50" s="26" t="n">
        <x:v>5.5</x:v>
      </x:c>
      <x:c r="E50" s="26" t="n">
        <x:v>4.682775934746497</x:v>
      </x:c>
      <x:c r="F50" s="26" t="n">
        <x:v>4.477461729265974</x:v>
      </x:c>
      <x:c r="G50" s="26" t="n">
        <x:v>4.171291813443606</x:v>
      </x:c>
      <x:c r="H50" s="26" t="n">
        <x:v>4.715591891798984</x:v>
      </x:c>
    </x:row>
    <x:row r="51">
      <x:c r="A51" s="28" t="n">
        <x:v>45427.5</x:v>
      </x:c>
      <x:c r="B51" s="26" t="n">
        <x:v>5.33</x:v>
      </x:c>
      <x:c r="C51" s="26" t="n">
        <x:v>5.25</x:v>
      </x:c>
      <x:c r="D51" s="26" t="n">
        <x:v>5.5</x:v>
      </x:c>
      <x:c r="E51" s="26" t="n">
        <x:v>4.406087567466002</x:v>
      </x:c>
      <x:c r="F51" s="26" t="n">
        <x:v>4.717011220620588</x:v>
      </x:c>
      <x:c r="G51" s="26" t="n">
        <x:v>5.278481201787318</x:v>
      </x:c>
      <x:c r="H51" s="26" t="n">
        <x:v>4.701735482683659</x:v>
      </x:c>
    </x:row>
    <x:row r="52">
      <x:c r="A52" s="28" t="n">
        <x:v>45519.5</x:v>
      </x:c>
      <x:c r="B52" s="26" t="n">
        <x:v>5.263333333333333</x:v>
      </x:c>
      <x:c r="C52" s="26" t="n">
        <x:v>5.25</x:v>
      </x:c>
      <x:c r="D52" s="26" t="n">
        <x:v>5.5</x:v>
      </x:c>
      <x:c r="E52" s="26" t="n">
        <x:v>3.7965034494659005</x:v>
      </x:c>
      <x:c r="F52" s="26" t="n">
        <x:v>4.3589976854492045</x:v>
      </x:c>
      <x:c r="G52" s="26" t="n">
        <x:v>4.687273990599743</x:v>
      </x:c>
      <x:c r="H52" s="26" t="n">
        <x:v>4.593337263546348</x:v>
      </x:c>
    </x:row>
    <x:row r="53">
      <x:c r="A53" s="28" t="n">
        <x:v>45611.5</x:v>
      </x:c>
      <x:c r="B53" s="26" t="n">
        <x:v>4.649999999999999</x:v>
      </x:c>
      <x:c r="C53" s="26" t="n">
        <x:v>4.5</x:v>
      </x:c>
      <x:c r="D53" s="26" t="n">
        <x:v>4.75</x:v>
      </x:c>
      <x:c r="E53" s="26" t="n">
        <x:v>4.043941832142453</x:v>
      </x:c>
      <x:c r="F53" s="26" t="n">
        <x:v>4.295586902226258</x:v>
      </x:c>
      <x:c r="G53" s="26" t="n">
        <x:v>4.239026806530559</x:v>
      </x:c>
      <x:c r="H53" s="26" t="n">
        <x:v>4.4281428864293595</x:v>
      </x:c>
    </x:row>
    <x:row r="54">
      <x:c r="A54" s="28" t="n">
        <x:v>45703.5</x:v>
      </x:c>
      <x:c r="B54" s="26" t="n">
        <x:v>4.33</x:v>
      </x:c>
      <x:c r="C54" s="26" t="n">
        <x:v>4.25</x:v>
      </x:c>
      <x:c r="D54" s="26" t="n">
        <x:v>4.5</x:v>
      </x:c>
      <x:c r="E54" s="26" t="n">
        <x:v>3.9051376874803783</x:v>
      </x:c>
      <x:c r="F54" s="26" t="n">
        <x:v>4.160733793346079</x:v>
      </x:c>
      <x:c r="G54" s="26" t="n">
        <x:v>3.2045020295779345</x:v>
      </x:c>
      <x:c r="H54" s="26" t="n">
        <x:v>3.8148220672375204</x:v>
      </x:c>
    </x:row>
    <x:row r="55">
      <x:c r="A55" s="28" t="n">
        <x:v>45792.5</x:v>
      </x:c>
      <x:c r="B55" s="26" t="n">
        <x:v>4.33</x:v>
      </x:c>
      <x:c r="C55" s="26" t="n">
        <x:v>4.25</x:v>
      </x:c>
      <x:c r="D55" s="26" t="n">
        <x:v>4.5</x:v>
      </x:c>
      <x:c r="E55" s="26" t="n">
        <x:v>3.7751900791639903</x:v>
      </x:c>
      <x:c r="F55" s="26" t="n">
        <x:v>4.516896342558374</x:v>
      </x:c>
      <x:c r="G55" s="26" t="n">
        <x:v>4.648128271500598</x:v>
      </x:c>
      <x:c r="H55" s="26" t="n">
        <x:v>3.6996369934046154</x:v>
      </x:c>
    </x:row>
    <x:row r="56">
      <x:c r="A56" s="28" t="n">
        <x:v>45884.5</x:v>
      </x:c>
      <x:c r="B56" s="26" t="n">
        <x:v>4.1</x:v>
      </x:c>
      <x:c r="C56" s="26" t="n">
        <x:v>4.25</x:v>
      </x:c>
      <x:c r="D56" s="26" t="n">
        <x:v>4.5</x:v>
      </x:c>
      <x:c r="E56" s="26" t="n">
        <x:v>4.193458127485422</x:v>
      </x:c>
      <x:c r="F56" s="26" t="n">
        <x:v>4.286957109968895</x:v>
      </x:c>
      <x:c r="G56" s="26" t="n">
        <x:v>5.839158232724845</x:v>
      </x:c>
      <x:c r="H56" s="26" t="n">
        <x:v>4.229563232724845</x:v>
      </x:c>
    </x:row>
    <x:row r="57">
      <x:c r="A57" s="28" t="n">
        <x:v>45976.5</x:v>
      </x:c>
      <x:c r="B57" s="26" t="n">
        <x:v>3.72</x:v>
      </x:c>
      <x:c r="C57" s="26" t="n">
        <x:v>3.75</x:v>
      </x:c>
      <x:c r="D57" s="26" t="n">
        <x:v>4</x:v>
      </x:c>
      <x:c r="E57" s="26" t="n">
        <x:v>4.045832903464467</x:v>
      </x:c>
      <x:c r="F57" s="26" t="n">
        <x:v>4.093153300572105</x:v>
      </x:c>
      <x:c r="G57" s="26" t="n">
        <x:v>3.7281694478500333</x:v>
      </x:c>
      <x:c r="H57" s="26" t="n">
        <x:v>4.128334447850033</x:v>
      </x:c>
    </x:row>
    <x:row r="58">
      <x:c r="A58" s="28" t="n">
        <x:v>46068.5</x:v>
      </x:c>
      <x:c r="B58" s="26" t="n">
        <x:v>3.64</x:v>
      </x:c>
      <x:c r="C58" s="26" t="n">
        <x:v>3.5</x:v>
      </x:c>
      <x:c r="D58" s="26" t="n">
        <x:v>3.75</x:v>
      </x:c>
      <x:c r="E58" s="26" t="n">
        <x:v>4.769996798550084</x:v>
      </x:c>
      <x:c r="F58" s="26" t="n">
        <x:v>4.008487301069509</x:v>
      </x:c>
      <x:c r="G58" s="26" t="n">
        <x:v>3.984897781183367</x:v>
      </x:c>
      <x:c r="H58" s="26" t="n">
        <x:v>3.930167781183367</x:v>
      </x:c>
    </x:row>
    <x:row r="59">
      <x:c r="A59" s="69" t="n">
        <x:v>46157.5</x:v>
      </x:c>
      <x:c r="B59" s="70" t="n">
        <x:v>3.63</x:v>
      </x:c>
      <x:c r="C59" s="70" t="n">
        <x:v>3.5</x:v>
      </x:c>
      <x:c r="D59" s="70" t="n">
        <x:v>3.75</x:v>
      </x:c>
      <x:c r="E59" s="70" t="n">
        <x:v>5.944152809026208</x:v>
      </x:c>
      <x:c r="F59" s="70" t="n">
        <x:v>4.235288421697744</x:v>
      </x:c>
      <x:c r="G59" s="70" t="n">
        <x:v>4.24867330789656</x:v>
      </x:c>
      <x:c r="H59" s="70" t="n">
        <x:v>3.7586733078965597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6" customHeight="1">
      <x:c r="A1" s="10" t="str">
        <x:v>Date</x:v>
      </x:c>
      <x:c r="B1" s="10" t="str">
        <x:v>Effective FFR</x:v>
      </x:c>
      <x:c r="C1" s="10" t="str">
        <x:v>Target Lower Bound</x:v>
      </x:c>
      <x:c r="D1" s="10" t="str">
        <x:v>Target Upper Bound</x:v>
      </x:c>
      <x:c r="E1" s="10" t="str">
        <x:v>1a</x:v>
      </x:c>
      <x:c r="F1" s="10" t="str">
        <x:v>1b</x:v>
      </x:c>
      <x:c r="G1" s="10" t="str">
        <x:v>2a</x:v>
      </x:c>
      <x:c r="H1" s="10" t="str">
        <x:v>2b</x:v>
      </x:c>
      <x:c r="I1" s="10" t="str">
        <x:v>3a</x:v>
      </x:c>
      <x:c r="J1" s="10" t="str">
        <x:v>3b</x:v>
      </x:c>
      <x:c r="K1" s="10" t="str">
        <x:v>4a</x:v>
      </x:c>
      <x:c r="L1" s="10" t="str">
        <x:v>4b</x:v>
      </x:c>
      <x:c r="M1" s="10" t="str">
        <x:v>ngdp1</x:v>
      </x:c>
      <x:c r="N1" s="10" t="str">
        <x:v>ngdp2</x:v>
      </x:c>
      <x:c r="O1" s="10" t="str">
        <x:v>ngdp3</x:v>
      </x:c>
      <x:c r="P1" s="10" t="str">
        <x:v>ngdp4</x:v>
      </x:c>
    </x:row>
    <x:row r="2">
      <x:c r="A2" s="77" t="n">
        <x:v>40954.5</x:v>
      </x:c>
      <x:c r="B2" s="52" t="n">
        <x:v>0.1033333333333333</x:v>
      </x:c>
      <x:c r="C2" s="52" t="n">
        <x:v>0</x:v>
      </x:c>
      <x:c r="D2" s="52" t="n">
        <x:v>0.25</x:v>
      </x:c>
      <x:c r="E2" s="52" t="n">
        <x:v>1.6391030289831354</x:v>
      </x:c>
      <x:c r="F2" s="52" t="n">
        <x:v>0.3821016681731235</x:v>
      </x:c>
      <x:c r="G2" s="52" t="n">
        <x:v>0.6454535839012445</x:v>
      </x:c>
      <x:c r="H2" s="52" t="n">
        <x:v>-0.6115477769087674</x:v>
      </x:c>
      <x:c r="I2" s="52" t="n">
        <x:v>0.8562181811582343</x:v>
      </x:c>
      <x:c r="J2" s="52" t="n">
        <x:v>0.22771750075322844</x:v>
      </x:c>
      <x:c r="K2" s="52" t="n">
        <x:v>0.35939345861728894</x:v>
      </x:c>
      <x:c r="L2" s="52" t="n">
        <x:v>-0.269107221787717</x:v>
      </x:c>
      <x:c r="M2" s="52" t="n">
        <x:v>3.0836216666666667</x:v>
      </x:c>
      <x:c r="N2" s="52" t="n">
        <x:v>2.4730007673131067</x:v>
      </x:c>
      <x:c r="O2" s="52" t="n">
        <x:v>2.1215384372801585</x:v>
      </x:c>
      <x:c r="P2" s="78" t="n">
        <x:v>1.5109175379265982</x:v>
      </x:c>
    </x:row>
    <x:row r="3">
      <x:c r="A3" s="79" t="n">
        <x:v>41044.5</x:v>
      </x:c>
      <x:c r="B3" s="57" t="n">
        <x:v>0.1533333333333333</x:v>
      </x:c>
      <x:c r="C3" s="57" t="n">
        <x:v>0</x:v>
      </x:c>
      <x:c r="D3" s="57" t="n">
        <x:v>0.25</x:v>
      </x:c>
      <x:c r="E3" s="57" t="n">
        <x:v>0.5624390864586113</x:v>
      </x:c>
      <x:c r="F3" s="57" t="n">
        <x:v>-0.8326031227715198</x:v>
      </x:c>
      <x:c r="G3" s="57" t="n">
        <x:v>1.0319459767530574</x:v>
      </x:c>
      <x:c r="H3" s="57" t="n">
        <x:v>-0.3630962324770737</x:v>
      </x:c>
      <x:c r="I3" s="57" t="n">
        <x:v>0.3328862098959723</x:v>
      </x:c>
      <x:c r="J3" s="57" t="n">
        <x:v>-0.36463489471909327</x:v>
      </x:c>
      <x:c r="K3" s="57" t="n">
        <x:v>0.5676396550431954</x:v>
      </x:c>
      <x:c r="L3" s="57" t="n">
        <x:v>-0.1298814495718702</x:v>
      </x:c>
      <x:c r="M3" s="57" t="n">
        <x:v>1.9204916666666667</x:v>
      </x:c>
      <x:c r="N3" s="57" t="n">
        <x:v>1.2441062071424311</x:v>
      </x:c>
      <x:c r="O3" s="57" t="n">
        <x:v>2.144786863083406</x:v>
      </x:c>
      <x:c r="P3" s="80" t="n">
        <x:v>1.4684014035591704</x:v>
      </x:c>
    </x:row>
    <x:row r="4">
      <x:c r="A4" s="79" t="n">
        <x:v>41136.5</x:v>
      </x:c>
      <x:c r="B4" s="57" t="n">
        <x:v>0.1433333333333333</x:v>
      </x:c>
      <x:c r="C4" s="57" t="n">
        <x:v>0</x:v>
      </x:c>
      <x:c r="D4" s="57" t="n">
        <x:v>0.25</x:v>
      </x:c>
      <x:c r="E4" s="57" t="n">
        <x:v>0.28609731986647224</x:v>
      </x:c>
      <x:c r="F4" s="57" t="n">
        <x:v>-1.1162925748105326</x:v>
      </x:c>
      <x:c r="G4" s="57" t="n">
        <x:v>0.8141245422712649</x:v>
      </x:c>
      <x:c r="H4" s="57" t="n">
        <x:v>-0.58826535240574</x:v>
      </x:c>
      <x:c r="I4" s="57" t="n">
        <x:v>0.21971532659990278</x:v>
      </x:c>
      <x:c r="J4" s="57" t="n">
        <x:v>-0.4814796207385996</x:v>
      </x:c>
      <x:c r="K4" s="57" t="n">
        <x:v>0.4837289378022991</x:v>
      </x:c>
      <x:c r="L4" s="57" t="n">
        <x:v>-0.21746600953620332</x:v>
      </x:c>
      <x:c r="M4" s="57" t="n">
        <x:v>1.5202033333333331</x:v>
      </x:c>
      <x:c r="N4" s="57" t="n">
        <x:v>0.8433772703718136</x:v>
      </x:c>
      <x:c r="O4" s="57" t="n">
        <x:v>1.9886224933656687</x:v>
      </x:c>
      <x:c r="P4" s="80" t="n">
        <x:v>1.3117964304041492</x:v>
      </x:c>
    </x:row>
    <x:row r="5">
      <x:c r="A5" s="79" t="n">
        <x:v>41228.5</x:v>
      </x:c>
      <x:c r="B5" s="57" t="n">
        <x:v>0.16</x:v>
      </x:c>
      <x:c r="C5" s="57" t="n">
        <x:v>0</x:v>
      </x:c>
      <x:c r="D5" s="57" t="n">
        <x:v>0.25</x:v>
      </x:c>
      <x:c r="E5" s="57" t="n">
        <x:v>0.770371489703134</x:v>
      </x:c>
      <x:c r="F5" s="57" t="n">
        <x:v>-0.5870868566785359</x:v>
      </x:c>
      <x:c r="G5" s="57" t="n">
        <x:v>1.0534394572272654</x:v>
      </x:c>
      <x:c r="H5" s="57" t="n">
        <x:v>-0.30401888915440445</x:v>
      </x:c>
      <x:c r="I5" s="57" t="n">
        <x:v>0.45685241151823364</x:v>
      </x:c>
      <x:c r="J5" s="57" t="n">
        <x:v>-0.22187676167260129</x:v>
      </x:c>
      <x:c r="K5" s="57" t="n">
        <x:v>0.5983863952802994</x:v>
      </x:c>
      <x:c r="L5" s="57" t="n">
        <x:v>-0.08034277791053557</x:v>
      </x:c>
      <x:c r="M5" s="57" t="n">
        <x:v>1.3194616666666668</x:v>
      </x:c>
      <x:c r="N5" s="57" t="n">
        <x:v>0.6646813974596116</x:v>
      </x:c>
      <x:c r="O5" s="57" t="n">
        <x:v>1.767650958296882</x:v>
      </x:c>
      <x:c r="P5" s="80" t="n">
        <x:v>1.112870689089827</x:v>
      </x:c>
    </x:row>
    <x:row r="6">
      <x:c r="A6" s="79" t="n">
        <x:v>41320.5</x:v>
      </x:c>
      <x:c r="B6" s="57" t="n">
        <x:v>0.1433333333333333</x:v>
      </x:c>
      <x:c r="C6" s="57" t="n">
        <x:v>0</x:v>
      </x:c>
      <x:c r="D6" s="57" t="n">
        <x:v>0.25</x:v>
      </x:c>
      <x:c r="E6" s="57" t="n">
        <x:v>0.3466821405545044</x:v>
      </x:c>
      <x:c r="F6" s="57" t="n">
        <x:v>-0.9018337442522486</x:v>
      </x:c>
      <x:c r="G6" s="57" t="n">
        <x:v>0.8140555311821163</x:v>
      </x:c>
      <x:c r="H6" s="57" t="n">
        <x:v>-0.43446035362463675</x:v>
      </x:c>
      <x:c r="I6" s="57" t="n">
        <x:v>0.2533410702772522</x:v>
      </x:c>
      <x:c r="J6" s="57" t="n">
        <x:v>-0.3709168721261243</x:v>
      </x:c>
      <x:c r="K6" s="57" t="n">
        <x:v>0.48702776559105815</x:v>
      </x:c>
      <x:c r="L6" s="57" t="n">
        <x:v>-0.13723017681231836</x:v>
      </x:c>
      <x:c r="M6" s="57" t="n">
        <x:v>2.912485</x:v>
      </x:c>
      <x:c r="N6" s="57" t="n">
        <x:v>2.311508234309721</x:v>
      </x:c>
      <x:c r="O6" s="57" t="n">
        <x:v>2.0076938769096557</x:v>
      </x:c>
      <x:c r="P6" s="80" t="n">
        <x:v>1.4067171112193764</x:v>
      </x:c>
    </x:row>
    <x:row r="7">
      <x:c r="A7" s="79" t="n">
        <x:v>41409.5</x:v>
      </x:c>
      <x:c r="B7" s="57" t="n">
        <x:v>0.1166666666666667</x:v>
      </x:c>
      <x:c r="C7" s="57" t="n">
        <x:v>0</x:v>
      </x:c>
      <x:c r="D7" s="57" t="n">
        <x:v>0.25</x:v>
      </x:c>
      <x:c r="E7" s="57" t="n">
        <x:v>0.24036929916632133</x:v>
      </x:c>
      <x:c r="F7" s="57" t="n">
        <x:v>-1.1399096151533883</x:v>
      </x:c>
      <x:c r="G7" s="57" t="n">
        <x:v>0.9510462305808649</x:v>
      </x:c>
      <x:c r="H7" s="57" t="n">
        <x:v>-0.42923268373884493</x:v>
      </x:c>
      <x:c r="I7" s="57" t="n">
        <x:v>0.19185131624982732</x:v>
      </x:c>
      <x:c r="J7" s="57" t="n">
        <x:v>-0.4982881409100275</x:v>
      </x:c>
      <x:c r="K7" s="57" t="n">
        <x:v>0.5471897819570991</x:v>
      </x:c>
      <x:c r="L7" s="57" t="n">
        <x:v>-0.1429496752027558</x:v>
      </x:c>
      <x:c r="M7" s="57" t="n">
        <x:v>1.0457516666666669</x:v>
      </x:c>
      <x:c r="N7" s="57" t="n">
        <x:v>0.38147643487036864</x:v>
      </x:c>
      <x:c r="O7" s="57" t="n">
        <x:v>1.7874228652126707</x:v>
      </x:c>
      <x:c r="P7" s="80" t="n">
        <x:v>1.1231476334163726</x:v>
      </x:c>
    </x:row>
    <x:row r="8">
      <x:c r="A8" s="79" t="n">
        <x:v>41501.5</x:v>
      </x:c>
      <x:c r="B8" s="57" t="n">
        <x:v>0.08333333333333333</x:v>
      </x:c>
      <x:c r="C8" s="57" t="n">
        <x:v>0</x:v>
      </x:c>
      <x:c r="D8" s="57" t="n">
        <x:v>0.25</x:v>
      </x:c>
      <x:c r="E8" s="57" t="n">
        <x:v>0.7056006483781756</x:v>
      </x:c>
      <x:c r="F8" s="57" t="n">
        <x:v>-0.5499810738444617</x:v>
      </x:c>
      <x:c r="G8" s="57" t="n">
        <x:v>1.3608193416738104</x:v>
      </x:c>
      <x:c r="H8" s="57" t="n">
        <x:v>0.10523761945117371</x:v>
      </x:c>
      <x:c r="I8" s="57" t="n">
        <x:v>0.41113365752242115</x:v>
      </x:c>
      <x:c r="J8" s="57" t="n">
        <x:v>-0.2166572035888975</x:v>
      </x:c>
      <x:c r="K8" s="57" t="n">
        <x:v>0.7387430041702385</x:v>
      </x:c>
      <x:c r="L8" s="57" t="n">
        <x:v>0.1109521430589202</x:v>
      </x:c>
      <x:c r="M8" s="57" t="n">
        <x:v>2.8049583333333334</x:v>
      </x:c>
      <x:c r="N8" s="57" t="n">
        <x:v>2.2006126257134824</x:v>
      </x:c>
      <x:c r="O8" s="57" t="n">
        <x:v>2.0354183524789153</x:v>
      </x:c>
      <x:c r="P8" s="80" t="n">
        <x:v>1.4310726448590645</x:v>
      </x:c>
    </x:row>
    <x:row r="9">
      <x:c r="A9" s="79" t="n">
        <x:v>41593.5</x:v>
      </x:c>
      <x:c r="B9" s="57" t="n">
        <x:v>0.08666666666666667</x:v>
      </x:c>
      <x:c r="C9" s="57" t="n">
        <x:v>0</x:v>
      </x:c>
      <x:c r="D9" s="57" t="n">
        <x:v>0.25</x:v>
      </x:c>
      <x:c r="E9" s="57" t="n">
        <x:v>0.6943601889423974</x:v>
      </x:c>
      <x:c r="F9" s="57" t="n">
        <x:v>-0.4745849785112586</x:v>
      </x:c>
      <x:c r="G9" s="57" t="n">
        <x:v>1.5554940232438845</x:v>
      </x:c>
      <x:c r="H9" s="57" t="n">
        <x:v>0.38654885579022835</x:v>
      </x:c>
      <x:c r="I9" s="57" t="n">
        <x:v>0.38884676113786537</x:v>
      </x:c>
      <x:c r="J9" s="57" t="n">
        <x:v>-0.19562582258896263</x:v>
      </x:c>
      <x:c r="K9" s="57" t="n">
        <x:v>0.8194136782886089</x:v>
      </x:c>
      <x:c r="L9" s="57" t="n">
        <x:v>0.23494109456178083</x:v>
      </x:c>
      <x:c r="M9" s="57" t="n">
        <x:v>2.9111966666666667</x:v>
      </x:c>
      <x:c r="N9" s="57" t="n">
        <x:v>2.348726332287194</x:v>
      </x:c>
      <x:c r="O9" s="57" t="n">
        <x:v>2.2458757789527977</x:v>
      </x:c>
      <x:c r="P9" s="80" t="n">
        <x:v>1.6834054445733253</x:v>
      </x:c>
    </x:row>
    <x:row r="10">
      <x:c r="A10" s="79" t="n">
        <x:v>41685.5</x:v>
      </x:c>
      <x:c r="B10" s="57" t="n">
        <x:v>0.07333333333333335</x:v>
      </x:c>
      <x:c r="C10" s="57" t="n">
        <x:v>0</x:v>
      </x:c>
      <x:c r="D10" s="57" t="n">
        <x:v>0.25</x:v>
      </x:c>
      <x:c r="E10" s="57" t="n">
        <x:v>1.106099767090232</x:v>
      </x:c>
      <x:c r="F10" s="57" t="n">
        <x:v>-0.3331052144195261</x:v>
      </x:c>
      <x:c r="G10" s="57" t="n">
        <x:v>1.5021586002031777</x:v>
      </x:c>
      <x:c r="H10" s="57" t="n">
        <x:v>0.06295361869341942</x:v>
      </x:c>
      <x:c r="I10" s="57" t="n">
        <x:v>0.5963832168784493</x:v>
      </x:c>
      <x:c r="J10" s="57" t="n">
        <x:v>-0.12321927387642972</x:v>
      </x:c>
      <x:c r="K10" s="57" t="n">
        <x:v>0.7944126334349222</x:v>
      </x:c>
      <x:c r="L10" s="57" t="n">
        <x:v>0.07481014268004305</x:v>
      </x:c>
      <x:c r="M10" s="57" t="n">
        <x:v>0.10989333333333329</x:v>
      </x:c>
      <x:c r="N10" s="57" t="n">
        <x:v>-0.5838783808387616</x:v>
      </x:c>
      <x:c r="O10" s="57" t="n">
        <x:v>1.7290238757771816</x:v>
      </x:c>
      <x:c r="P10" s="80" t="n">
        <x:v>1.035252161605087</x:v>
      </x:c>
    </x:row>
    <x:row r="11">
      <x:c r="A11" s="79" t="n">
        <x:v>41774.5</x:v>
      </x:c>
      <x:c r="B11" s="57" t="n">
        <x:v>0.09333333333333334</x:v>
      </x:c>
      <x:c r="C11" s="57" t="n">
        <x:v>0</x:v>
      </x:c>
      <x:c r="D11" s="57" t="n">
        <x:v>0.25</x:v>
      </x:c>
      <x:c r="E11" s="57" t="n">
        <x:v>1.9871933660007672</x:v>
      </x:c>
      <x:c r="F11" s="57" t="n">
        <x:v>0.98945312280034</x:v>
      </x:c>
      <x:c r="G11" s="57" t="n">
        <x:v>1.9913056875227448</x:v>
      </x:c>
      <x:c r="H11" s="57" t="n">
        <x:v>0.9935654443223176</x:v>
      </x:c>
      <x:c r="I11" s="57" t="n">
        <x:v>1.0302633496670504</x:v>
      </x:c>
      <x:c r="J11" s="57" t="n">
        <x:v>0.5313932280668366</x:v>
      </x:c>
      <x:c r="K11" s="57" t="n">
        <x:v>1.0323195104280392</x:v>
      </x:c>
      <x:c r="L11" s="57" t="n">
        <x:v>0.5334493888278254</x:v>
      </x:c>
      <x:c r="M11" s="57" t="n">
        <x:v>3.789378333333333</x:v>
      </x:c>
      <x:c r="N11" s="57" t="n">
        <x:v>3.3120010781102565</x:v>
      </x:c>
      <x:c r="O11" s="57" t="n">
        <x:v>2.078546628121668</x:v>
      </x:c>
      <x:c r="P11" s="80" t="n">
        <x:v>1.6011693728985912</x:v>
      </x:c>
    </x:row>
    <x:row r="12">
      <x:c r="A12" s="79" t="n">
        <x:v>41866.5</x:v>
      </x:c>
      <x:c r="B12" s="57" t="n">
        <x:v>0.09000000000000001</x:v>
      </x:c>
      <x:c r="C12" s="57" t="n">
        <x:v>0</x:v>
      </x:c>
      <x:c r="D12" s="57" t="n">
        <x:v>0.25</x:v>
      </x:c>
      <x:c r="E12" s="57" t="n">
        <x:v>1.8065540296764424</x:v>
      </x:c>
      <x:c r="F12" s="57" t="n">
        <x:v>0.9997098066219077</x:v>
      </x:c>
      <x:c r="G12" s="57" t="n">
        <x:v>2.407569218305637</x:v>
      </x:c>
      <x:c r="H12" s="57" t="n">
        <x:v>1.6007249952511025</x:v>
      </x:c>
      <x:c r="I12" s="57" t="n">
        <x:v>0.9499436815048878</x:v>
      </x:c>
      <x:c r="J12" s="57" t="n">
        <x:v>0.5465215699776205</x:v>
      </x:c>
      <x:c r="K12" s="57" t="n">
        <x:v>1.2504512758194852</x:v>
      </x:c>
      <x:c r="L12" s="57" t="n">
        <x:v>0.8470291642922179</x:v>
      </x:c>
      <x:c r="M12" s="57" t="n">
        <x:v>3.264261666666667</x:v>
      </x:c>
      <x:c r="N12" s="57" t="n">
        <x:v>2.8816371357637953</x:v>
      </x:c>
      <x:c r="O12" s="57" t="n">
        <x:v>2.3008342452127417</x:v>
      </x:c>
      <x:c r="P12" s="80" t="n">
        <x:v>1.9182097143098702</x:v>
      </x:c>
    </x:row>
    <x:row r="13">
      <x:c r="A13" s="79" t="n">
        <x:v>41958.5</x:v>
      </x:c>
      <x:c r="B13" s="57" t="n">
        <x:v>0.09999999999999999</x:v>
      </x:c>
      <x:c r="C13" s="57" t="n">
        <x:v>0</x:v>
      </x:c>
      <x:c r="D13" s="57" t="n">
        <x:v>0.25</x:v>
      </x:c>
      <x:c r="E13" s="57" t="n">
        <x:v>1.3925189394726523</x:v>
      </x:c>
      <x:c r="F13" s="57" t="n">
        <x:v>0.47859827231595053</x:v>
      </x:c>
      <x:c r="G13" s="57" t="n">
        <x:v>2.2615908781039025</x:v>
      </x:c>
      <x:c r="H13" s="57" t="n">
        <x:v>1.3476702109471999</x:v>
      </x:c>
      <x:c r="I13" s="57" t="n">
        <x:v>0.7412594697363262</x:v>
      </x:c>
      <x:c r="J13" s="57" t="n">
        <x:v>0.28429913615797525</x:v>
      </x:c>
      <x:c r="K13" s="57" t="n">
        <x:v>1.1757954390519512</x:v>
      </x:c>
      <x:c r="L13" s="57" t="n">
        <x:v>0.7188351054736</x:v>
      </x:c>
      <x:c r="M13" s="57" t="n">
        <x:v>1.142575</x:v>
      </x:c>
      <x:c r="N13" s="57" t="n">
        <x:v>0.7083096976844404</x:v>
      </x:c>
      <x:c r="O13" s="57" t="n">
        <x:v>1.92687552515151</x:v>
      </x:c>
      <x:c r="P13" s="80" t="n">
        <x:v>1.4926102228359504</x:v>
      </x:c>
    </x:row>
    <x:row r="14">
      <x:c r="A14" s="79" t="n">
        <x:v>42050.5</x:v>
      </x:c>
      <x:c r="B14" s="57" t="n">
        <x:v>0.11</x:v>
      </x:c>
      <x:c r="C14" s="57" t="n">
        <x:v>0</x:v>
      </x:c>
      <x:c r="D14" s="57" t="n">
        <x:v>0.25</x:v>
      </x:c>
      <x:c r="E14" s="57" t="n">
        <x:v>0.16898337056339152</x:v>
      </x:c>
      <x:c r="F14" s="57" t="n">
        <x:v>-0.7340946173657777</x:v>
      </x:c>
      <x:c r="G14" s="57" t="n">
        <x:v>1.650454291773495</x:v>
      </x:c>
      <x:c r="H14" s="57" t="n">
        <x:v>0.7473763038443256</x:v>
      </x:c>
      <x:c r="I14" s="57" t="n">
        <x:v>0.13449168528169575</x:v>
      </x:c>
      <x:c r="J14" s="57" t="n">
        <x:v>-0.3170473086828889</x:v>
      </x:c>
      <x:c r="K14" s="57" t="n">
        <x:v>0.8752271458867475</x:v>
      </x:c>
      <x:c r="L14" s="57" t="n">
        <x:v>0.4236881519221628</x:v>
      </x:c>
      <x:c r="M14" s="57" t="n">
        <x:v>1.637605</x:v>
      </x:c>
      <x:c r="N14" s="57" t="n">
        <x:v>1.2091953231133175</x:v>
      </x:c>
      <x:c r="O14" s="57" t="n">
        <x:v>1.777396322466086</x:v>
      </x:c>
      <x:c r="P14" s="80" t="n">
        <x:v>1.3489866455794035</x:v>
      </x:c>
    </x:row>
    <x:row r="15">
      <x:c r="A15" s="79" t="n">
        <x:v>42139.5</x:v>
      </x:c>
      <x:c r="B15" s="57" t="n">
        <x:v>0.1233333333333333</x:v>
      </x:c>
      <x:c r="C15" s="57" t="n">
        <x:v>0</x:v>
      </x:c>
      <x:c r="D15" s="57" t="n">
        <x:v>0.25</x:v>
      </x:c>
      <x:c r="E15" s="57" t="n">
        <x:v>0.3242805101119556</x:v>
      </x:c>
      <x:c r="F15" s="57" t="n">
        <x:v>-0.4841006726035403</x:v>
      </x:c>
      <x:c r="G15" s="57" t="n">
        <x:v>2.5541528312964887</x:v>
      </x:c>
      <x:c r="H15" s="57" t="n">
        <x:v>1.7457716485809929</x:v>
      </x:c>
      <x:c r="I15" s="57" t="n">
        <x:v>0.21714025505597778</x:v>
      </x:c>
      <x:c r="J15" s="57" t="n">
        <x:v>-0.18705033630177015</x:v>
      </x:c>
      <x:c r="K15" s="57" t="n">
        <x:v>1.3320764156482443</x:v>
      </x:c>
      <x:c r="L15" s="57" t="n">
        <x:v>0.9278858242904965</x:v>
      </x:c>
      <x:c r="M15" s="57" t="n">
        <x:v>2.367725</x:v>
      </x:c>
      <x:c r="N15" s="57" t="n">
        <x:v>1.9833615711902415</x:v>
      </x:c>
      <x:c r="O15" s="57" t="n">
        <x:v>1.8677411216832562</x:v>
      </x:c>
      <x:c r="P15" s="80" t="n">
        <x:v>1.4833776928734979</x:v>
      </x:c>
    </x:row>
    <x:row r="16">
      <x:c r="A16" s="79" t="n">
        <x:v>42231.5</x:v>
      </x:c>
      <x:c r="B16" s="57" t="n">
        <x:v>0.1366666666666667</x:v>
      </x:c>
      <x:c r="C16" s="57" t="n">
        <x:v>0</x:v>
      </x:c>
      <x:c r="D16" s="57" t="n">
        <x:v>0.25</x:v>
      </x:c>
      <x:c r="E16" s="57" t="n">
        <x:v>0.4506965795291791</x:v>
      </x:c>
      <x:c r="F16" s="57" t="n">
        <x:v>-0.26378976740916116</x:v>
      </x:c>
      <x:c r="G16" s="57" t="n">
        <x:v>2.7033979091747686</x:v>
      </x:c>
      <x:c r="H16" s="57" t="n">
        <x:v>1.9889115622364284</x:v>
      </x:c>
      <x:c r="I16" s="57" t="n">
        <x:v>0.2870149564312562</x:v>
      </x:c>
      <x:c r="J16" s="57" t="n">
        <x:v>-0.07022821703791393</x:v>
      </x:c>
      <x:c r="K16" s="57" t="n">
        <x:v>1.413365621254051</x:v>
      </x:c>
      <x:c r="L16" s="57" t="n">
        <x:v>1.056122447784881</x:v>
      </x:c>
      <x:c r="M16" s="57" t="n">
        <x:v>1.1997983333333333</x:v>
      </x:c>
      <x:c r="N16" s="57" t="n">
        <x:v>0.8636563204683402</x:v>
      </x:c>
      <x:c r="O16" s="57" t="n">
        <x:v>1.534933813771385</x:v>
      </x:c>
      <x:c r="P16" s="80" t="n">
        <x:v>1.1987918009063918</x:v>
      </x:c>
    </x:row>
    <x:row r="17">
      <x:c r="A17" s="79" t="n">
        <x:v>42323.5</x:v>
      </x:c>
      <x:c r="B17" s="57" t="n">
        <x:v>0.16</x:v>
      </x:c>
      <x:c r="C17" s="57" t="n">
        <x:v>0</x:v>
      </x:c>
      <x:c r="D17" s="57" t="n">
        <x:v>0.25</x:v>
      </x:c>
      <x:c r="E17" s="57" t="n">
        <x:v>0.4976568481296586</x:v>
      </x:c>
      <x:c r="F17" s="57" t="n">
        <x:v>-0.23614697533535844</x:v>
      </x:c>
      <x:c r="G17" s="57" t="n">
        <x:v>2.4369770030536433</x:v>
      </x:c>
      <x:c r="H17" s="57" t="n">
        <x:v>1.7031731795886262</x:v>
      </x:c>
      <x:c r="I17" s="57" t="n">
        <x:v>0.31716175739816266</x:v>
      </x:c>
      <x:c r="J17" s="57" t="n">
        <x:v>-0.04974015433434588</x:v>
      </x:c>
      <x:c r="K17" s="57" t="n">
        <x:v>1.286821834860155</x:v>
      </x:c>
      <x:c r="L17" s="57" t="n">
        <x:v>0.9199199231276465</x:v>
      </x:c>
      <x:c r="M17" s="57" t="n">
        <x:v>0.18354833333333342</x:v>
      </x:c>
      <x:c r="N17" s="57" t="n">
        <x:v>-0.1607304136422616</x:v>
      </x:c>
      <x:c r="O17" s="57" t="n">
        <x:v>1.1411579310211377</x:v>
      </x:c>
      <x:c r="P17" s="80" t="n">
        <x:v>0.7968791840455428</x:v>
      </x:c>
    </x:row>
    <x:row r="18">
      <x:c r="A18" s="79" t="n">
        <x:v>42415.5</x:v>
      </x:c>
      <x:c r="B18" s="57" t="n">
        <x:v>0.36</x:v>
      </x:c>
      <x:c r="C18" s="57" t="n">
        <x:v>0.25</x:v>
      </x:c>
      <x:c r="D18" s="57" t="n">
        <x:v>0.5</x:v>
      </x:c>
      <x:c r="E18" s="57" t="n">
        <x:v>1.195661313587188</x:v>
      </x:c>
      <x:c r="F18" s="57" t="n">
        <x:v>0.7334421511508613</x:v>
      </x:c>
      <x:c r="G18" s="57" t="n">
        <x:v>2.179768013649126</x:v>
      </x:c>
      <x:c r="H18" s="57" t="n">
        <x:v>1.7175488512127992</x:v>
      </x:c>
      <x:c r="I18" s="57" t="n">
        <x:v>0.677830656793594</x:v>
      </x:c>
      <x:c r="J18" s="57" t="n">
        <x:v>0.44672107557543067</x:v>
      </x:c>
      <x:c r="K18" s="57" t="n">
        <x:v>1.169884006824563</x:v>
      </x:c>
      <x:c r="L18" s="57" t="n">
        <x:v>0.9387744256063996</x:v>
      </x:c>
      <x:c r="M18" s="57" t="n">
        <x:v>0.7390016666666664</x:v>
      </x:c>
      <x:c r="N18" s="57" t="n">
        <x:v>0.5279087843499429</x:v>
      </x:c>
      <x:c r="O18" s="57" t="n">
        <x:v>1.0040651418098265</x:v>
      </x:c>
      <x:c r="P18" s="80" t="n">
        <x:v>0.792972259493103</x:v>
      </x:c>
    </x:row>
    <x:row r="19">
      <x:c r="A19" s="79" t="n">
        <x:v>42505.5</x:v>
      </x:c>
      <x:c r="B19" s="57" t="n">
        <x:v>0.3733333333333334</x:v>
      </x:c>
      <x:c r="C19" s="57" t="n">
        <x:v>0.25</x:v>
      </x:c>
      <x:c r="D19" s="57" t="n">
        <x:v>0.5</x:v>
      </x:c>
      <x:c r="E19" s="57" t="n">
        <x:v>1.096511509371929</x:v>
      </x:c>
      <x:c r="F19" s="57" t="n">
        <x:v>0.911804377260435</x:v>
      </x:c>
      <x:c r="G19" s="57" t="n">
        <x:v>2.4526720656047276</x:v>
      </x:c>
      <x:c r="H19" s="57" t="n">
        <x:v>2.267964933493234</x:v>
      </x:c>
      <x:c r="I19" s="57" t="n">
        <x:v>0.7282557546859645</x:v>
      </x:c>
      <x:c r="J19" s="57" t="n">
        <x:v>0.6359021886302174</x:v>
      </x:c>
      <x:c r="K19" s="57" t="n">
        <x:v>1.4063360328023637</x:v>
      </x:c>
      <x:c r="L19" s="57" t="n">
        <x:v>1.313982466746617</x:v>
      </x:c>
      <x:c r="M19" s="57" t="n">
        <x:v>1.7575316666666663</x:v>
      </x:c>
      <x:c r="N19" s="57" t="n">
        <x:v>1.6837063217905477</x:v>
      </x:c>
      <x:c r="O19" s="57" t="n">
        <x:v>1.1174691301295394</x:v>
      </x:c>
      <x:c r="P19" s="80" t="n">
        <x:v>1.0436437852534208</x:v>
      </x:c>
    </x:row>
    <x:row r="20">
      <x:c r="A20" s="79" t="n">
        <x:v>42597.5</x:v>
      </x:c>
      <x:c r="B20" s="57" t="n">
        <x:v>0.3966666666666667</x:v>
      </x:c>
      <x:c r="C20" s="57" t="n">
        <x:v>0.25</x:v>
      </x:c>
      <x:c r="D20" s="57" t="n">
        <x:v>0.5</x:v>
      </x:c>
      <x:c r="E20" s="57" t="n">
        <x:v>1.0740201233365823</x:v>
      </x:c>
      <x:c r="F20" s="57" t="n">
        <x:v>1.0907355719263059</x:v>
      </x:c>
      <x:c r="G20" s="57" t="n">
        <x:v>2.3574166463620756</x:v>
      </x:c>
      <x:c r="H20" s="57" t="n">
        <x:v>2.3741320949517997</x:v>
      </x:c>
      <x:c r="I20" s="57" t="n">
        <x:v>0.7236767283349579</x:v>
      </x:c>
      <x:c r="J20" s="57" t="n">
        <x:v>0.7320344526298197</x:v>
      </x:c>
      <x:c r="K20" s="57" t="n">
        <x:v>1.3653749898477046</x:v>
      </x:c>
      <x:c r="L20" s="57" t="n">
        <x:v>1.3737327141425666</x:v>
      </x:c>
      <x:c r="M20" s="57" t="n">
        <x:v>1.60718</x:v>
      </x:c>
      <x:c r="N20" s="57" t="n">
        <x:v>1.6341492077661843</x:v>
      </x:c>
      <x:c r="O20" s="57" t="n">
        <x:v>1.216840305740086</x:v>
      </x:c>
      <x:c r="P20" s="80" t="n">
        <x:v>1.2438095135062703</x:v>
      </x:c>
    </x:row>
    <x:row r="21">
      <x:c r="A21" s="79" t="n">
        <x:v>42689.5</x:v>
      </x:c>
      <x:c r="B21" s="57" t="n">
        <x:v>0.45</x:v>
      </x:c>
      <x:c r="C21" s="57" t="n">
        <x:v>0.25</x:v>
      </x:c>
      <x:c r="D21" s="57" t="n">
        <x:v>0.5</x:v>
      </x:c>
      <x:c r="E21" s="57" t="n">
        <x:v>2.0414350531678522</x:v>
      </x:c>
      <x:c r="F21" s="57" t="n">
        <x:v>1.9771502632471236</x:v>
      </x:c>
      <x:c r="G21" s="57" t="n">
        <x:v>2.612149547208954</x:v>
      </x:c>
      <x:c r="H21" s="57" t="n">
        <x:v>2.5478647572882256</x:v>
      </x:c>
      <x:c r="I21" s="57" t="n">
        <x:v>1.2190508599172594</x:v>
      </x:c>
      <x:c r="J21" s="57" t="n">
        <x:v>1.186908464956895</x:v>
      </x:c>
      <x:c r="K21" s="57" t="n">
        <x:v>1.5044081069378104</x:v>
      </x:c>
      <x:c r="L21" s="57" t="n">
        <x:v>1.472265711977446</x:v>
      </x:c>
      <x:c r="M21" s="57" t="n">
        <x:v>1.7929750000000002</x:v>
      </x:c>
      <x:c r="N21" s="57" t="n">
        <x:v>1.780489771680438</x:v>
      </x:c>
      <x:c r="O21" s="57" t="n">
        <x:v>1.467668549917866</x:v>
      </x:c>
      <x:c r="P21" s="80" t="n">
        <x:v>1.4551833215983039</x:v>
      </x:c>
    </x:row>
    <x:row r="22">
      <x:c r="A22" s="79" t="n">
        <x:v>42781.5</x:v>
      </x:c>
      <x:c r="B22" s="57" t="n">
        <x:v>0.7000000000000001</x:v>
      </x:c>
      <x:c r="C22" s="57" t="n">
        <x:v>0.5</x:v>
      </x:c>
      <x:c r="D22" s="57" t="n">
        <x:v>0.75</x:v>
      </x:c>
      <x:c r="E22" s="57" t="n">
        <x:v>3.0775275960822093</x:v>
      </x:c>
      <x:c r="F22" s="57" t="n">
        <x:v>2.988700104156327</x:v>
      </x:c>
      <x:c r="G22" s="57" t="n">
        <x:v>3.060819554447882</x:v>
      </x:c>
      <x:c r="H22" s="57" t="n">
        <x:v>2.9719920625219998</x:v>
      </x:c>
      <x:c r="I22" s="57" t="n">
        <x:v>1.7637637980411047</x:v>
      </x:c>
      <x:c r="J22" s="57" t="n">
        <x:v>1.7193500520781635</x:v>
      </x:c>
      <x:c r="K22" s="57" t="n">
        <x:v>1.755409777223941</x:v>
      </x:c>
      <x:c r="L22" s="57" t="n">
        <x:v>1.710996031261</x:v>
      </x:c>
      <x:c r="M22" s="57" t="n">
        <x:v>1.7531600000000003</x:v>
      </x:c>
      <x:c r="N22" s="57" t="n">
        <x:v>1.7272747602018097</x:v>
      </x:c>
      <x:c r="O22" s="57" t="n">
        <x:v>1.675482400823993</x:v>
      </x:c>
      <x:c r="P22" s="80" t="n">
        <x:v>1.6495971610258024</x:v>
      </x:c>
    </x:row>
    <x:row r="23">
      <x:c r="A23" s="79" t="n">
        <x:v>42870.5</x:v>
      </x:c>
      <x:c r="B23" s="57" t="n">
        <x:v>0.9500000000000001</x:v>
      </x:c>
      <x:c r="C23" s="57" t="n">
        <x:v>0.75</x:v>
      </x:c>
      <x:c r="D23" s="57" t="n">
        <x:v>1</x:v>
      </x:c>
      <x:c r="E23" s="57" t="n">
        <x:v>2.6019664211416393</x:v>
      </x:c>
      <x:c r="F23" s="57" t="n">
        <x:v>2.4628435534217945</x:v>
      </x:c>
      <x:c r="G23" s="57" t="n">
        <x:v>2.921393212903162</x:v>
      </x:c>
      <x:c r="H23" s="57" t="n">
        <x:v>2.782270345183317</x:v>
      </x:c>
      <x:c r="I23" s="57" t="n">
        <x:v>1.6509832105708198</x:v>
      </x:c>
      <x:c r="J23" s="57" t="n">
        <x:v>1.5814217767108973</x:v>
      </x:c>
      <x:c r="K23" s="57" t="n">
        <x:v>1.810696606451581</x:v>
      </x:c>
      <x:c r="L23" s="57" t="n">
        <x:v>1.7411351725916586</x:v>
      </x:c>
      <x:c r="M23" s="57" t="n">
        <x:v>1.5152</x:v>
      </x:c>
      <x:c r="N23" s="57" t="n">
        <x:v>1.4654252215648507</x:v>
      </x:c>
      <x:c r="O23" s="57" t="n">
        <x:v>1.70583151242299</x:v>
      </x:c>
      <x:c r="P23" s="80" t="n">
        <x:v>1.6560567339878405</x:v>
      </x:c>
    </x:row>
    <x:row r="24">
      <x:c r="A24" s="79" t="n">
        <x:v>42962.5</x:v>
      </x:c>
      <x:c r="B24" s="57" t="n">
        <x:v>1.153333333333333</x:v>
      </x:c>
      <x:c r="C24" s="57" t="n">
        <x:v>1</x:v>
      </x:c>
      <x:c r="D24" s="57" t="n">
        <x:v>1.25</x:v>
      </x:c>
      <x:c r="E24" s="57" t="n">
        <x:v>2.4651890838206754</x:v>
      </x:c>
      <x:c r="F24" s="57" t="n">
        <x:v>2.5243682198372355</x:v>
      </x:c>
      <x:c r="G24" s="57" t="n">
        <x:v>2.7773613927865513</x:v>
      </x:c>
      <x:c r="H24" s="57" t="n">
        <x:v>2.836540528803111</x:v>
      </x:c>
      <x:c r="I24" s="57" t="n">
        <x:v>1.7075945419103378</x:v>
      </x:c>
      <x:c r="J24" s="57" t="n">
        <x:v>1.7371841099186178</x:v>
      </x:c>
      <x:c r="K24" s="57" t="n">
        <x:v>1.8636806963932757</x:v>
      </x:c>
      <x:c r="L24" s="57" t="n">
        <x:v>1.8932702644015555</x:v>
      </x:c>
      <x:c r="M24" s="57" t="n">
        <x:v>2.556171666666667</x:v>
      </x:c>
      <x:c r="N24" s="57" t="n">
        <x:v>2.6051431101121785</x:v>
      </x:c>
      <x:c r="O24" s="57" t="n">
        <x:v>1.8901984054615144</x:v>
      </x:c>
      <x:c r="P24" s="80" t="n">
        <x:v>1.9391698489070262</x:v>
      </x:c>
    </x:row>
    <x:row r="25">
      <x:c r="A25" s="79" t="n">
        <x:v>43054.5</x:v>
      </x:c>
      <x:c r="B25" s="57" t="n">
        <x:v>1.203333333333333</x:v>
      </x:c>
      <x:c r="C25" s="57" t="n">
        <x:v>1</x:v>
      </x:c>
      <x:c r="D25" s="57" t="n">
        <x:v>1.25</x:v>
      </x:c>
      <x:c r="E25" s="57" t="n">
        <x:v>2.749433518280822</x:v>
      </x:c>
      <x:c r="F25" s="57" t="n">
        <x:v>3.0763680923650623</x:v>
      </x:c>
      <x:c r="G25" s="57" t="n">
        <x:v>2.877052996893128</x:v>
      </x:c>
      <x:c r="H25" s="57" t="n">
        <x:v>3.203987570977368</x:v>
      </x:c>
      <x:c r="I25" s="57" t="n">
        <x:v>1.9513834258070775</x:v>
      </x:c>
      <x:c r="J25" s="57" t="n">
        <x:v>2.1148507128491976</x:v>
      </x:c>
      <x:c r="K25" s="57" t="n">
        <x:v>2.0151931651132307</x:v>
      </x:c>
      <x:c r="L25" s="57" t="n">
        <x:v>2.1786604521553508</x:v>
      </x:c>
      <x:c r="M25" s="57" t="n">
        <x:v>3.5432516666666665</x:v>
      </x:c>
      <x:c r="N25" s="57" t="n">
        <x:v>3.7223201668443515</x:v>
      </x:c>
      <x:c r="O25" s="57" t="n">
        <x:v>2.287642303391167</x:v>
      </x:c>
      <x:c r="P25" s="80" t="n">
        <x:v>2.466710803568852</x:v>
      </x:c>
    </x:row>
    <x:row r="26">
      <x:c r="A26" s="79" t="n">
        <x:v>43146.5</x:v>
      </x:c>
      <x:c r="B26" s="57" t="n">
        <x:v>1.446666666666667</x:v>
      </x:c>
      <x:c r="C26" s="57" t="n">
        <x:v>1.25</x:v>
      </x:c>
      <x:c r="D26" s="57" t="n">
        <x:v>1.5</x:v>
      </x:c>
      <x:c r="E26" s="57" t="n">
        <x:v>3.1283152204493136</x:v>
      </x:c>
      <x:c r="F26" s="57" t="n">
        <x:v>3.5044501001423702</x:v>
      </x:c>
      <x:c r="G26" s="57" t="n">
        <x:v>3.2634479870915802</x:v>
      </x:c>
      <x:c r="H26" s="57" t="n">
        <x:v>3.639582866784637</x:v>
      </x:c>
      <x:c r="I26" s="57" t="n">
        <x:v>2.1658242768913234</x:v>
      </x:c>
      <x:c r="J26" s="57" t="n">
        <x:v>2.3538917167378517</x:v>
      </x:c>
      <x:c r="K26" s="57" t="n">
        <x:v>2.2333906602124567</x:v>
      </x:c>
      <x:c r="L26" s="57" t="n">
        <x:v>2.421458100058985</x:v>
      </x:c>
      <x:c r="M26" s="57" t="n">
        <x:v>2.9916883333333333</x:v>
      </x:c>
      <x:c r="N26" s="57" t="n">
        <x:v>3.191565137274937</x:v>
      </x:c>
      <x:c r="O26" s="57" t="n">
        <x:v>2.4327682829046324</x:v>
      </x:c>
      <x:c r="P26" s="80" t="n">
        <x:v>2.6326450868462357</x:v>
      </x:c>
    </x:row>
    <x:row r="27">
      <x:c r="A27" s="79" t="n">
        <x:v>43235.5</x:v>
      </x:c>
      <x:c r="B27" s="57" t="n">
        <x:v>1.736666666666667</x:v>
      </x:c>
      <x:c r="C27" s="57" t="n">
        <x:v>1.5</x:v>
      </x:c>
      <x:c r="D27" s="57" t="n">
        <x:v>1.75</x:v>
      </x:c>
      <x:c r="E27" s="57" t="n">
        <x:v>3.7517500568234894</x:v>
      </x:c>
      <x:c r="F27" s="57" t="n">
        <x:v>4.059853739362089</x:v>
      </x:c>
      <x:c r="G27" s="57" t="n">
        <x:v>3.498152887781216</x:v>
      </x:c>
      <x:c r="H27" s="57" t="n">
        <x:v>3.8062565703198157</x:v>
      </x:c>
      <x:c r="I27" s="57" t="n">
        <x:v>2.5992083617450783</x:v>
      </x:c>
      <x:c r="J27" s="57" t="n">
        <x:v>2.7532602030143782</x:v>
      </x:c>
      <x:c r="K27" s="57" t="n">
        <x:v>2.4724097772239415</x:v>
      </x:c>
      <x:c r="L27" s="57" t="n">
        <x:v>2.6264616184932414</x:v>
      </x:c>
      <x:c r="M27" s="57" t="n">
        <x:v>2.690248333333334</x:v>
      </x:c>
      <x:c r="N27" s="57" t="n">
        <x:v>2.856178046918224</x:v>
      </x:c>
      <x:c r="O27" s="57" t="n">
        <x:v>2.5515990034808342</x:v>
      </x:c>
      <x:c r="P27" s="80" t="n">
        <x:v>2.7175287170657243</x:v>
      </x:c>
    </x:row>
    <x:row r="28">
      <x:c r="A28" s="79" t="n">
        <x:v>43327.5</x:v>
      </x:c>
      <x:c r="B28" s="57" t="n">
        <x:v>1.923333333333333</x:v>
      </x:c>
      <x:c r="C28" s="57" t="n">
        <x:v>1.75</x:v>
      </x:c>
      <x:c r="D28" s="57" t="n">
        <x:v>2</x:v>
      </x:c>
      <x:c r="E28" s="57" t="n">
        <x:v>3.964185632252838</x:v>
      </x:c>
      <x:c r="F28" s="57" t="n">
        <x:v>4.119458979190385</x:v>
      </x:c>
      <x:c r="G28" s="57" t="n">
        <x:v>3.782155826166446</x:v>
      </x:c>
      <x:c r="H28" s="57" t="n">
        <x:v>3.9374291731039923</x:v>
      </x:c>
      <x:c r="I28" s="57" t="n">
        <x:v>2.8504261494597527</x:v>
      </x:c>
      <x:c r="J28" s="57" t="n">
        <x:v>2.928062822928526</x:v>
      </x:c>
      <x:c r="K28" s="57" t="n">
        <x:v>2.7594112464165566</x:v>
      </x:c>
      <x:c r="L28" s="57" t="n">
        <x:v>2.83704791988533</x:v>
      </x:c>
      <x:c r="M28" s="57" t="n">
        <x:v>2.49804</x:v>
      </x:c>
      <x:c r="N28" s="57" t="n">
        <x:v>2.5895288817549833</x:v>
      </x:c>
      <x:c r="O28" s="57" t="n">
        <x:v>2.592861003148798</x:v>
      </x:c>
      <x:c r="P28" s="80" t="n">
        <x:v>2.6843498849037815</x:v>
      </x:c>
    </x:row>
    <x:row r="29">
      <x:c r="A29" s="79" t="n">
        <x:v>43419.5</x:v>
      </x:c>
      <x:c r="B29" s="57" t="n">
        <x:v>2.22</x:v>
      </x:c>
      <x:c r="C29" s="57" t="n">
        <x:v>2</x:v>
      </x:c>
      <x:c r="D29" s="57" t="n">
        <x:v>2.25</x:v>
      </x:c>
      <x:c r="E29" s="57" t="n">
        <x:v>3.4271986173467397</x:v>
      </x:c>
      <x:c r="F29" s="57" t="n">
        <x:v>3.6515046460325964</x:v>
      </x:c>
      <x:c r="G29" s="57" t="n">
        <x:v>3.726740684437348</x:v>
      </x:c>
      <x:c r="H29" s="57" t="n">
        <x:v>3.9510467131232048</x:v>
      </x:c>
      <x:c r="I29" s="57" t="n">
        <x:v>2.6752659753400363</x:v>
      </x:c>
      <x:c r="J29" s="57" t="n">
        <x:v>2.7874189896829646</x:v>
      </x:c>
      <x:c r="K29" s="57" t="n">
        <x:v>2.8250370088853405</x:v>
      </x:c>
      <x:c r="L29" s="57" t="n">
        <x:v>2.937190023228269</x:v>
      </x:c>
      <x:c r="M29" s="57" t="n">
        <x:v>1.5338333333333332</x:v>
      </x:c>
      <x:c r="N29" s="57" t="n">
        <x:v>1.6593051762157365</x:v>
      </x:c>
      <x:c r="O29" s="57" t="n">
        <x:v>2.1808003393919035</x:v>
      </x:c>
      <x:c r="P29" s="80" t="n">
        <x:v>2.3062721822743066</x:v>
      </x:c>
    </x:row>
    <x:row r="30">
      <x:c r="A30" s="79" t="n">
        <x:v>43511.5</x:v>
      </x:c>
      <x:c r="B30" s="57" t="n">
        <x:v>2.403333333333333</x:v>
      </x:c>
      <x:c r="C30" s="57" t="n">
        <x:v>2.25</x:v>
      </x:c>
      <x:c r="D30" s="57" t="n">
        <x:v>2.5</x:v>
      </x:c>
      <x:c r="E30" s="57" t="n">
        <x:v>2.549798119287191</x:v>
      </x:c>
      <x:c r="F30" s="57" t="n">
        <x:v>2.874131003635641</x:v>
      </x:c>
      <x:c r="G30" s="57" t="n">
        <x:v>3.2713851620204433</x:v>
      </x:c>
      <x:c r="H30" s="57" t="n">
        <x:v>3.5957180463688934</x:v>
      </x:c>
      <x:c r="I30" s="57" t="n">
        <x:v>2.3848990596435957</x:v>
      </x:c>
      <x:c r="J30" s="57" t="n">
        <x:v>2.5470655018178205</x:v>
      </x:c>
      <x:c r="K30" s="57" t="n">
        <x:v>2.7456925810102217</x:v>
      </x:c>
      <x:c r="L30" s="57" t="n">
        <x:v>2.9078590231844466</x:v>
      </x:c>
      <x:c r="M30" s="57" t="n">
        <x:v>2.36321</x:v>
      </x:c>
      <x:c r="N30" s="57" t="n">
        <x:v>2.53864341878802</x:v>
      </x:c>
      <x:c r="O30" s="57" t="n">
        <x:v>2.123040434825508</x:v>
      </x:c>
      <x:c r="P30" s="80" t="n">
        <x:v>2.298473853613528</x:v>
      </x:c>
    </x:row>
    <x:row r="31">
      <x:c r="A31" s="79" t="n">
        <x:v>43600.5</x:v>
      </x:c>
      <x:c r="B31" s="57" t="n">
        <x:v>2.396666666666667</x:v>
      </x:c>
      <x:c r="C31" s="57" t="n">
        <x:v>2.25</x:v>
      </x:c>
      <x:c r="D31" s="57" t="n">
        <x:v>2.5</x:v>
      </x:c>
      <x:c r="E31" s="57" t="n">
        <x:v>2.6603931234790776</x:v>
      </x:c>
      <x:c r="F31" s="57" t="n">
        <x:v>3.238296321185564</x:v>
      </x:c>
      <x:c r="G31" s="57" t="n">
        <x:v>3.473175670547747</x:v>
      </x:c>
      <x:c r="H31" s="57" t="n">
        <x:v>4.051078868254233</x:v>
      </x:c>
      <x:c r="I31" s="57" t="n">
        <x:v>2.5318632284062055</x:v>
      </x:c>
      <x:c r="J31" s="57" t="n">
        <x:v>2.8208148272594484</x:v>
      </x:c>
      <x:c r="K31" s="57" t="n">
        <x:v>2.93825450194054</x:v>
      </x:c>
      <x:c r="L31" s="57" t="n">
        <x:v>3.227206100793783</x:v>
      </x:c>
      <x:c r="M31" s="57" t="n">
        <x:v>3.261633333333333</x:v>
      </x:c>
      <x:c r="N31" s="57" t="n">
        <x:v>3.5623191319959266</x:v>
      </x:c>
      <x:c r="O31" s="57" t="n">
        <x:v>2.302423474788033</x:v>
      </x:c>
      <x:c r="P31" s="80" t="n">
        <x:v>2.6031092734506265</x:v>
      </x:c>
    </x:row>
    <x:row r="32">
      <x:c r="A32" s="79" t="n">
        <x:v>43692.5</x:v>
      </x:c>
      <x:c r="B32" s="57" t="n">
        <x:v>2.19</x:v>
      </x:c>
      <x:c r="C32" s="57" t="n">
        <x:v>2</x:v>
      </x:c>
      <x:c r="D32" s="57" t="n">
        <x:v>2.25</x:v>
      </x:c>
      <x:c r="E32" s="57" t="n">
        <x:v>2.45951503119682</x:v>
      </x:c>
      <x:c r="F32" s="57" t="n">
        <x:v>3.24553377785381</x:v>
      </x:c>
      <x:c r="G32" s="57" t="n">
        <x:v>3.1387145006293435</x:v>
      </x:c>
      <x:c r="H32" s="57" t="n">
        <x:v>3.9247332472863334</x:v>
      </x:c>
      <x:c r="I32" s="57" t="n">
        <x:v>2.4280908489317437</x:v>
      </x:c>
      <x:c r="J32" s="57" t="n">
        <x:v>2.821100222260238</x:v>
      </x:c>
      <x:c r="K32" s="57" t="n">
        <x:v>2.7676905836480055</x:v>
      </x:c>
      <x:c r="L32" s="57" t="n">
        <x:v>3.1606999569765</x:v>
      </x:c>
      <x:c r="M32" s="57" t="n">
        <x:v>3.4995483333333333</x:v>
      </x:c>
      <x:c r="N32" s="57" t="n">
        <x:v>3.902589940807384</x:v>
      </x:c>
      <x:c r="O32" s="57" t="n">
        <x:v>2.55304872101362</x:v>
      </x:c>
      <x:c r="P32" s="80" t="n">
        <x:v>2.95609032848767</x:v>
      </x:c>
    </x:row>
    <x:row r="33">
      <x:c r="A33" s="79" t="n">
        <x:v>43784.5</x:v>
      </x:c>
      <x:c r="B33" s="57" t="n">
        <x:v>1.643333333333333</x:v>
      </x:c>
      <x:c r="C33" s="57" t="n">
        <x:v>1.5</x:v>
      </x:c>
      <x:c r="D33" s="57" t="n">
        <x:v>1.75</x:v>
      </x:c>
      <x:c r="E33" s="57" t="n">
        <x:v>2.4748630969778564</x:v>
      </x:c>
      <x:c r="F33" s="57" t="n">
        <x:v>3.2448534530401165</x:v>
      </x:c>
      <x:c r="G33" s="57" t="n">
        <x:v>3.1850560261424548</x:v>
      </x:c>
      <x:c r="H33" s="57" t="n">
        <x:v>3.9550463822047153</x:v>
      </x:c>
      <x:c r="I33" s="57" t="n">
        <x:v>2.332431548488928</x:v>
      </x:c>
      <x:c r="J33" s="57" t="n">
        <x:v>2.717426726520058</x:v>
      </x:c>
      <x:c r="K33" s="57" t="n">
        <x:v>2.687528013071227</x:v>
      </x:c>
      <x:c r="L33" s="57" t="n">
        <x:v>3.0725231911023574</x:v>
      </x:c>
      <x:c r="M33" s="57" t="n">
        <x:v>2.3645199999999997</x:v>
      </x:c>
      <x:c r="N33" s="57" t="n">
        <x:v>2.75932878910821</x:v>
      </x:c>
      <x:c r="O33" s="57" t="n">
        <x:v>2.5138257560631585</x:v>
      </x:c>
      <x:c r="P33" s="80" t="n">
        <x:v>2.9086345451713687</x:v>
      </x:c>
    </x:row>
    <x:row r="34">
      <x:c r="A34" s="79" t="n">
        <x:v>43876.5</x:v>
      </x:c>
      <x:c r="B34" s="57" t="n">
        <x:v>1.26</x:v>
      </x:c>
      <x:c r="C34" s="57" t="n">
        <x:v>1.5</x:v>
      </x:c>
      <x:c r="D34" s="57" t="n">
        <x:v>1.75</x:v>
      </x:c>
      <x:c r="E34" s="57" t="n">
        <x:v>2.454388837574078</x:v>
      </x:c>
      <x:c r="F34" s="57" t="n">
        <x:v>3.249229134445158</x:v>
      </x:c>
      <x:c r="G34" s="57" t="n">
        <x:v>2.9083226392505312</x:v>
      </x:c>
      <x:c r="H34" s="57" t="n">
        <x:v>3.7031629361216116</x:v>
      </x:c>
      <x:c r="I34" s="57" t="n">
        <x:v>2.0488610854537055</x:v>
      </x:c>
      <x:c r="J34" s="57" t="n">
        <x:v>2.4462812338892457</x:v>
      </x:c>
      <x:c r="K34" s="57" t="n">
        <x:v>2.275827986291932</x:v>
      </x:c>
      <x:c r="L34" s="57" t="n">
        <x:v>2.6732481347274724</x:v>
      </x:c>
      <x:c r="M34" s="57" t="n">
        <x:v>-1.5671883333333334</x:v>
      </x:c>
      <x:c r="N34" s="57" t="n">
        <x:v>-1.1572899638753935</x:v>
      </x:c>
      <x:c r="O34" s="57" t="n">
        <x:v>1.3526813794286976</x:v>
      </x:c>
      <x:c r="P34" s="80" t="n">
        <x:v>1.7625797488866375</x:v>
      </x:c>
    </x:row>
    <x:row r="35">
      <x:c r="A35" s="79" t="n">
        <x:v>43966.5</x:v>
      </x:c>
      <x:c r="B35" s="57" t="n">
        <x:v>0.06</x:v>
      </x:c>
      <x:c r="C35" s="57" t="n">
        <x:v>0</x:v>
      </x:c>
      <x:c r="D35" s="57" t="n">
        <x:v>0.25</x:v>
      </x:c>
      <x:c r="E35" s="57" t="n">
        <x:v>-8.18386543035602</x:v>
      </x:c>
      <x:c r="F35" s="57" t="n">
        <x:v>-7.42204423386461</x:v>
      </x:c>
      <x:c r="G35" s="57" t="n">
        <x:v>-7.92116500216229</x:v>
      </x:c>
      <x:c r="H35" s="57" t="n">
        <x:v>-7.159343805670881</x:v>
      </x:c>
      <x:c r="I35" s="57" t="n">
        <x:v>-3.46193271517801</x:v>
      </x:c>
      <x:c r="J35" s="57" t="n">
        <x:v>-3.081022116932305</x:v>
      </x:c>
      <x:c r="K35" s="57" t="n">
        <x:v>-3.330582501081145</x:v>
      </x:c>
      <x:c r="L35" s="57" t="n">
        <x:v>-2.9496719028354406</x:v>
      </x:c>
      <x:c r="M35" s="57" t="n">
        <x:v>-14.677245000000001</x:v>
      </x:c>
      <x:c r="N35" s="57" t="n">
        <x:v>-14.283053660277126</x:v>
      </x:c>
      <x:c r="O35" s="57" t="n">
        <x:v>-2.347695108603383</x:v>
      </x:c>
      <x:c r="P35" s="80" t="n">
        <x:v>-1.9535037688805081</x:v>
      </x:c>
    </x:row>
    <x:row r="36">
      <x:c r="A36" s="79" t="n">
        <x:v>44058.5</x:v>
      </x:c>
      <x:c r="B36" s="57" t="n">
        <x:v>0.09333333333333334</x:v>
      </x:c>
      <x:c r="C36" s="57" t="n">
        <x:v>0</x:v>
      </x:c>
      <x:c r="D36" s="57" t="n">
        <x:v>0.25</x:v>
      </x:c>
      <x:c r="E36" s="57" t="n">
        <x:v>-3.166678321678319</x:v>
      </x:c>
      <x:c r="F36" s="57" t="n">
        <x:v>-2.335452714831879</x:v>
      </x:c>
      <x:c r="G36" s="57" t="n">
        <x:v>-2.677732943579648</x:v>
      </x:c>
      <x:c r="H36" s="57" t="n">
        <x:v>-1.8465073367332079</x:v>
      </x:c>
      <x:c r="I36" s="57" t="n">
        <x:v>-1.5533391608391596</x:v>
      </x:c>
      <x:c r="J36" s="57" t="n">
        <x:v>-1.1377263574159395</x:v>
      </x:c>
      <x:c r="K36" s="57" t="n">
        <x:v>-1.308866471789824</x:v>
      </x:c>
      <x:c r="L36" s="57" t="n">
        <x:v>-0.8932536683666039</x:v>
      </x:c>
      <x:c r="M36" s="57" t="n">
        <x:v>19.211155</x:v>
      </x:c>
      <x:c r="N36" s="57" t="n">
        <x:v>19.638965967167202</x:v>
      </x:c>
      <x:c r="O36" s="57" t="n">
        <x:v>1.0597450412261396</x:v>
      </x:c>
      <x:c r="P36" s="80" t="n">
        <x:v>1.4875560083933397</x:v>
      </x:c>
    </x:row>
    <x:row r="37">
      <x:c r="A37" s="79" t="n">
        <x:v>44150.5</x:v>
      </x:c>
      <x:c r="B37" s="57" t="n">
        <x:v>0.09000000000000001</x:v>
      </x:c>
      <x:c r="C37" s="57" t="n">
        <x:v>0</x:v>
      </x:c>
      <x:c r="D37" s="57" t="n">
        <x:v>0.25</x:v>
      </x:c>
      <x:c r="E37" s="57" t="n">
        <x:v>-0.9613380731403294</x:v>
      </x:c>
      <x:c r="F37" s="57" t="n">
        <x:v>-0.14989594210499968</x:v>
      </x:c>
      <x:c r="G37" s="57" t="n">
        <x:v>-0.05848672955052381</x:v>
      </x:c>
      <x:c r="H37" s="57" t="n">
        <x:v>0.7529554014848059</x:v>
      </x:c>
      <x:c r="I37" s="57" t="n">
        <x:v>-0.434002369903498</x:v>
      </x:c>
      <x:c r="J37" s="57" t="n">
        <x:v>-0.02828130438583317</x:v>
      </x:c>
      <x:c r="K37" s="57" t="n">
        <x:v>0.017423301891404765</x:v>
      </x:c>
      <x:c r="L37" s="57" t="n">
        <x:v>0.42314436740906963</x:v>
      </x:c>
      <x:c r="M37" s="57" t="n">
        <x:v>2.917726666666667</x:v>
      </x:c>
      <x:c r="N37" s="57" t="n">
        <x:v>3.335564646194587</x:v>
      </x:c>
      <x:c r="O37" s="57" t="n">
        <x:v>1.653281039480627</x:v>
      </x:c>
      <x:c r="P37" s="80" t="n">
        <x:v>2.071119019008547</x:v>
      </x:c>
    </x:row>
    <x:row r="38">
      <x:c r="A38" s="79" t="n">
        <x:v>44242.5</x:v>
      </x:c>
      <x:c r="B38" s="57" t="n">
        <x:v>0.08</x:v>
      </x:c>
      <x:c r="C38" s="57" t="n">
        <x:v>0</x:v>
      </x:c>
      <x:c r="D38" s="57" t="n">
        <x:v>0.25</x:v>
      </x:c>
      <x:c r="E38" s="57" t="n">
        <x:v>0.7672036478529263</x:v>
      </x:c>
      <x:c r="F38" s="57" t="n">
        <x:v>1.7152292424199764</x:v>
      </x:c>
      <x:c r="G38" s="57" t="n">
        <x:v>0.7530347499458072</x:v>
      </x:c>
      <x:c r="H38" s="57" t="n">
        <x:v>1.7010603445128574</x:v>
      </x:c>
      <x:c r="I38" s="57" t="n">
        <x:v>0.4286018239264631</x:v>
      </x:c>
      <x:c r="J38" s="57" t="n">
        <x:v>0.9026146212099883</x:v>
      </x:c>
      <x:c r="K38" s="57" t="n">
        <x:v>0.4215173749729036</x:v>
      </x:c>
      <x:c r="L38" s="57" t="n">
        <x:v>0.8955301722564287</x:v>
      </x:c>
      <x:c r="M38" s="57" t="n">
        <x:v>4.8900049999999995</x:v>
      </x:c>
      <x:c r="N38" s="57" t="n">
        <x:v>5.37133346420406</x:v>
      </x:c>
      <x:c r="O38" s="57" t="n">
        <x:v>2.6433191502664632</x:v>
      </x:c>
      <x:c r="P38" s="80" t="n">
        <x:v>3.124647614470523</x:v>
      </x:c>
    </x:row>
    <x:row r="39">
      <x:c r="A39" s="79" t="n">
        <x:v>44331.5</x:v>
      </x:c>
      <x:c r="B39" s="57" t="n">
        <x:v>0.07</x:v>
      </x:c>
      <x:c r="C39" s="57" t="n">
        <x:v>0</x:v>
      </x:c>
      <x:c r="D39" s="57" t="n">
        <x:v>0.25</x:v>
      </x:c>
      <x:c r="E39" s="57" t="n">
        <x:v>4.025780561510787</x:v>
      </x:c>
      <x:c r="F39" s="57" t="n">
        <x:v>5.046973960113488</x:v>
      </x:c>
      <x:c r="G39" s="57" t="n">
        <x:v>1.66079923493026</x:v>
      </x:c>
      <x:c r="H39" s="57" t="n">
        <x:v>2.6819926335329596</x:v>
      </x:c>
      <x:c r="I39" s="57" t="n">
        <x:v>2.0528902807553937</x:v>
      </x:c>
      <x:c r="J39" s="57" t="n">
        <x:v>2.563486980056744</x:v>
      </x:c>
      <x:c r="K39" s="57" t="n">
        <x:v>0.8703996174651301</x:v>
      </x:c>
      <x:c r="L39" s="57" t="n">
        <x:v>1.3809963167664798</x:v>
      </x:c>
      <x:c r="M39" s="57" t="n">
        <x:v>6.1924</x:v>
      </x:c>
      <x:c r="N39" s="57" t="n">
        <x:v>6.703979730252985</x:v>
      </x:c>
      <x:c r="O39" s="57" t="n">
        <x:v>3.5218825611077222</x:v>
      </x:c>
      <x:c r="P39" s="80" t="n">
        <x:v>4.033462291360707</x:v>
      </x:c>
    </x:row>
    <x:row r="40">
      <x:c r="A40" s="79" t="n">
        <x:v>44423.5</x:v>
      </x:c>
      <x:c r="B40" s="57" t="n">
        <x:v>0.09000000000000001</x:v>
      </x:c>
      <x:c r="C40" s="57" t="n">
        <x:v>0</x:v>
      </x:c>
      <x:c r="D40" s="57" t="n">
        <x:v>0.25</x:v>
      </x:c>
      <x:c r="E40" s="57" t="n">
        <x:v>5.776885057471289</x:v>
      </x:c>
      <x:c r="F40" s="57" t="n">
        <x:v>6.750191968176389</x:v>
      </x:c>
      <x:c r="G40" s="57" t="n">
        <x:v>3.0239655787546464</x:v>
      </x:c>
      <x:c r="H40" s="57" t="n">
        <x:v>3.9972724894597462</x:v>
      </x:c>
      <x:c r="I40" s="57" t="n">
        <x:v>2.9234425287356447</x:v>
      </x:c>
      <x:c r="J40" s="57" t="n">
        <x:v>3.4100959840881946</x:v>
      </x:c>
      <x:c r="K40" s="57" t="n">
        <x:v>1.5469827893773231</x:v>
      </x:c>
      <x:c r="L40" s="57" t="n">
        <x:v>2.0336362447298733</x:v>
      </x:c>
      <x:c r="M40" s="57" t="n">
        <x:v>4.207865</x:v>
      </x:c>
      <x:c r="N40" s="57" t="n">
        <x:v>4.698405383976935</x:v>
      </x:c>
      <x:c r="O40" s="57" t="n">
        <x:v>2.877340542840501</x:v>
      </x:c>
      <x:c r="P40" s="80" t="n">
        <x:v>3.3678809268174357</x:v>
      </x:c>
    </x:row>
    <x:row r="41">
      <x:c r="A41" s="79" t="n">
        <x:v>44515.5</x:v>
      </x:c>
      <x:c r="B41" s="57" t="n">
        <x:v>0.08</x:v>
      </x:c>
      <x:c r="C41" s="57" t="n">
        <x:v>0</x:v>
      </x:c>
      <x:c r="D41" s="57" t="n">
        <x:v>0.25</x:v>
      </x:c>
      <x:c r="E41" s="57" t="n">
        <x:v>8.482455333162513</x:v>
      </x:c>
      <x:c r="F41" s="57" t="n">
        <x:v>9.713306579330013</x:v>
      </x:c>
      <x:c r="G41" s="57" t="n">
        <x:v>4.1654152563668605</x:v>
      </x:c>
      <x:c r="H41" s="57" t="n">
        <x:v>5.396266502534361</x:v>
      </x:c>
      <x:c r="I41" s="57" t="n">
        <x:v>4.286227666581256</x:v>
      </x:c>
      <x:c r="J41" s="57" t="n">
        <x:v>4.901653289665006</x:v>
      </x:c>
      <x:c r="K41" s="57" t="n">
        <x:v>2.12770762818343</x:v>
      </x:c>
      <x:c r="L41" s="57" t="n">
        <x:v>2.74313325126718</x:v>
      </x:c>
      <x:c r="M41" s="57" t="n">
        <x:v>6.595715</x:v>
      </x:c>
      <x:c r="N41" s="57" t="n">
        <x:v>7.215051167427025</x:v>
      </x:c>
      <x:c r="O41" s="57" t="n">
        <x:v>3.0269324334752765</x:v>
      </x:c>
      <x:c r="P41" s="80" t="n">
        <x:v>3.6462686009023013</x:v>
      </x:c>
    </x:row>
    <x:row r="42">
      <x:c r="A42" s="79" t="n">
        <x:v>44607.5</x:v>
      </x:c>
      <x:c r="B42" s="57" t="n">
        <x:v>0.12</x:v>
      </x:c>
      <x:c r="C42" s="57" t="n">
        <x:v>0</x:v>
      </x:c>
      <x:c r="D42" s="57" t="n">
        <x:v>0.25</x:v>
      </x:c>
      <x:c r="E42" s="57" t="n">
        <x:v>9.866069834001152</x:v>
      </x:c>
      <x:c r="F42" s="57" t="n">
        <x:v>10.901330628521716</x:v>
      </x:c>
      <x:c r="G42" s="57" t="n">
        <x:v>4.782706885643359</x:v>
      </x:c>
      <x:c r="H42" s="57" t="n">
        <x:v>5.817967680163922</x:v>
      </x:c>
      <x:c r="I42" s="57" t="n">
        <x:v>4.973034917000576</x:v>
      </x:c>
      <x:c r="J42" s="57" t="n">
        <x:v>5.490665314260858</x:v>
      </x:c>
      <x:c r="K42" s="57" t="n">
        <x:v>2.4313534428216794</x:v>
      </x:c>
      <x:c r="L42" s="57" t="n">
        <x:v>2.948983840081961</x:v>
      </x:c>
      <x:c r="M42" s="57" t="n">
        <x:v>2.862593333333333</x:v>
      </x:c>
      <x:c r="N42" s="57" t="n">
        <x:v>3.3883401903792447</x:v>
      </x:c>
      <x:c r="O42" s="57" t="n">
        <x:v>2.371404415688854</x:v>
      </x:c>
      <x:c r="P42" s="80" t="n">
        <x:v>2.897151272734766</x:v>
      </x:c>
    </x:row>
    <x:row r="43">
      <x:c r="A43" s="79" t="n">
        <x:v>44696.5</x:v>
      </x:c>
      <x:c r="B43" s="57" t="n">
        <x:v>0.77</x:v>
      </x:c>
      <x:c r="C43" s="57" t="n">
        <x:v>0.75</x:v>
      </x:c>
      <x:c r="D43" s="57" t="n">
        <x:v>1</x:v>
      </x:c>
      <x:c r="E43" s="57" t="n">
        <x:v>10.627900244028694</x:v>
      </x:c>
      <x:c r="F43" s="57" t="n">
        <x:v>11.395479915607341</x:v>
      </x:c>
      <x:c r="G43" s="57" t="n">
        <x:v>6.082690009364985</x:v>
      </x:c>
      <x:c r="H43" s="57" t="n">
        <x:v>6.850269680943631</x:v>
      </x:c>
      <x:c r="I43" s="57" t="n">
        <x:v>5.373950122014347</x:v>
      </x:c>
      <x:c r="J43" s="57" t="n">
        <x:v>5.75773995780367</x:v>
      </x:c>
      <x:c r="K43" s="57" t="n">
        <x:v>3.1013450046824924</x:v>
      </x:c>
      <x:c r="L43" s="57" t="n">
        <x:v>3.4851348404718157</x:v>
      </x:c>
      <x:c r="M43" s="57" t="n">
        <x:v>4.3067416666666665</x:v>
      </x:c>
      <x:c r="N43" s="57" t="n">
        <x:v>4.70552334267994</x:v>
      </x:c>
      <x:c r="O43" s="57" t="n">
        <x:v>2.2291930047966244</x:v>
      </x:c>
      <x:c r="P43" s="80" t="n">
        <x:v>2.6279746808098974</x:v>
      </x:c>
    </x:row>
    <x:row r="44">
      <x:c r="A44" s="79" t="n">
        <x:v>44788.5</x:v>
      </x:c>
      <x:c r="B44" s="57" t="n">
        <x:v>2.19</x:v>
      </x:c>
      <x:c r="C44" s="57" t="n">
        <x:v>2.25</x:v>
      </x:c>
      <x:c r="D44" s="57" t="n">
        <x:v>2.5</x:v>
      </x:c>
      <x:c r="E44" s="57" t="n">
        <x:v>10.433937151368685</x:v>
      </x:c>
      <x:c r="F44" s="57" t="n">
        <x:v>11.248537740847466</x:v>
      </x:c>
      <x:c r="G44" s="57" t="n">
        <x:v>5.907157845384132</x:v>
      </x:c>
      <x:c r="H44" s="57" t="n">
        <x:v>6.721758434862913</x:v>
      </x:c>
      <x:c r="I44" s="57" t="n">
        <x:v>5.601968575684342</x:v>
      </x:c>
      <x:c r="J44" s="57" t="n">
        <x:v>6.009268870423733</x:v>
      </x:c>
      <x:c r="K44" s="57" t="n">
        <x:v>3.338578922692066</x:v>
      </x:c>
      <x:c r="L44" s="57" t="n">
        <x:v>3.7458792174314564</x:v>
      </x:c>
      <x:c r="M44" s="57" t="n">
        <x:v>3.4109949999999998</x:v>
      </x:c>
      <x:c r="N44" s="57" t="n">
        <x:v>3.83478458676203</x:v>
      </x:c>
      <x:c r="O44" s="57" t="n">
        <x:v>2.3937255189566606</x:v>
      </x:c>
      <x:c r="P44" s="80" t="n">
        <x:v>2.817515105718691</x:v>
      </x:c>
    </x:row>
    <x:row r="45">
      <x:c r="A45" s="79" t="n">
        <x:v>44880.5</x:v>
      </x:c>
      <x:c r="B45" s="57" t="n">
        <x:v>3.653333333333333</x:v>
      </x:c>
      <x:c r="C45" s="57" t="n">
        <x:v>3.75</x:v>
      </x:c>
      <x:c r="D45" s="57" t="n">
        <x:v>4</x:v>
      </x:c>
      <x:c r="E45" s="57" t="n">
        <x:v>9.374315967612707</x:v>
      </x:c>
      <x:c r="F45" s="57" t="n">
        <x:v>10.123793845314218</x:v>
      </x:c>
      <x:c r="G45" s="57" t="n">
        <x:v>5.714088667408684</x:v>
      </x:c>
      <x:c r="H45" s="57" t="n">
        <x:v>6.4635665451101945</x:v>
      </x:c>
      <x:c r="I45" s="57" t="n">
        <x:v>5.7821579838063535</x:v>
      </x:c>
      <x:c r="J45" s="57" t="n">
        <x:v>6.156896922657109</x:v>
      </x:c>
      <x:c r="K45" s="57" t="n">
        <x:v>3.9520443337043423</x:v>
      </x:c>
      <x:c r="L45" s="57" t="n">
        <x:v>4.326783272555097</x:v>
      </x:c>
      <x:c r="M45" s="57" t="n">
        <x:v>3.724875</x:v>
      </x:c>
      <x:c r="N45" s="57" t="n">
        <x:v>4.11856904466292</x:v>
      </x:c>
      <x:c r="O45" s="57" t="n">
        <x:v>3.0286638399725545</x:v>
      </x:c>
      <x:c r="P45" s="80" t="n">
        <x:v>3.422357884635474</x:v>
      </x:c>
    </x:row>
    <x:row r="46">
      <x:c r="A46" s="79" t="n">
        <x:v>44972.5</x:v>
      </x:c>
      <x:c r="B46" s="57" t="n">
        <x:v>4.516666666666667</x:v>
      </x:c>
      <x:c r="C46" s="57" t="n">
        <x:v>4.5</x:v>
      </x:c>
      <x:c r="D46" s="57" t="n">
        <x:v>4.75</x:v>
      </x:c>
      <x:c r="E46" s="57" t="n">
        <x:v>7.963604297629344</x:v>
      </x:c>
      <x:c r="F46" s="57" t="n">
        <x:v>8.668830270727176</x:v>
      </x:c>
      <x:c r="G46" s="57" t="n">
        <x:v>4.67617462101424</x:v>
      </x:c>
      <x:c r="H46" s="57" t="n">
        <x:v>5.38140059411207</x:v>
      </x:c>
      <x:c r="I46" s="57" t="n">
        <x:v>5.808468815481339</x:v>
      </x:c>
      <x:c r="J46" s="57" t="n">
        <x:v>6.161081802030254</x:v>
      </x:c>
      <x:c r="K46" s="57" t="n">
        <x:v>4.1647539771737865</x:v>
      </x:c>
      <x:c r="L46" s="57" t="n">
        <x:v>4.517366963722702</x:v>
      </x:c>
      <x:c r="M46" s="57" t="n">
        <x:v>4.492346666666666</x:v>
      </x:c>
      <x:c r="N46" s="57" t="n">
        <x:v>4.865779144624146</x:v>
      </x:c>
      <x:c r="O46" s="57" t="n">
        <x:v>3.6831864394675726</x:v>
      </x:c>
      <x:c r="P46" s="80" t="n">
        <x:v>4.056618917425053</x:v>
      </x:c>
    </x:row>
    <x:row r="47">
      <x:c r="A47" s="79" t="n">
        <x:v>45061.5</x:v>
      </x:c>
      <x:c r="B47" s="57" t="n">
        <x:v>4.99</x:v>
      </x:c>
      <x:c r="C47" s="57" t="n">
        <x:v>5</x:v>
      </x:c>
      <x:c r="D47" s="57" t="n">
        <x:v>5.25</x:v>
      </x:c>
      <x:c r="E47" s="57" t="n">
        <x:v>6.277340498135288</x:v>
      </x:c>
      <x:c r="F47" s="57" t="n">
        <x:v>6.862849902713428</x:v>
      </x:c>
      <x:c r="G47" s="57" t="n">
        <x:v>4.824038298586177</x:v>
      </x:c>
      <x:c r="H47" s="57" t="n">
        <x:v>5.409547703164317</x:v>
      </x:c>
      <x:c r="I47" s="57" t="n">
        <x:v>5.397003582400977</x:v>
      </x:c>
      <x:c r="J47" s="57" t="n">
        <x:v>5.689758284690047</x:v>
      </x:c>
      <x:c r="K47" s="57" t="n">
        <x:v>4.670352482626422</x:v>
      </x:c>
      <x:c r="L47" s="57" t="n">
        <x:v>4.963107184915492</x:v>
      </x:c>
      <x:c r="M47" s="57" t="n">
        <x:v>3.8530333333333333</x:v>
      </x:c>
      <x:c r="N47" s="57" t="n">
        <x:v>4.169634460548068</x:v>
      </x:c>
      <x:c r="O47" s="57" t="n">
        <x:v>3.967087380232253</x:v>
      </x:c>
      <x:c r="P47" s="80" t="n">
        <x:v>4.283688507446988</x:v>
      </x:c>
    </x:row>
    <x:row r="48">
      <x:c r="A48" s="79" t="n">
        <x:v>45153.5</x:v>
      </x:c>
      <x:c r="B48" s="57" t="n">
        <x:v>5.26</x:v>
      </x:c>
      <x:c r="C48" s="57" t="n">
        <x:v>5.25</x:v>
      </x:c>
      <x:c r="D48" s="57" t="n">
        <x:v>5.5</x:v>
      </x:c>
      <x:c r="E48" s="57" t="n">
        <x:v>5.44315416089675</x:v>
      </x:c>
      <x:c r="F48" s="57" t="n">
        <x:v>5.9689194507047</x:v>
      </x:c>
      <x:c r="G48" s="57" t="n">
        <x:v>4.231316407946066</x:v>
      </x:c>
      <x:c r="H48" s="57" t="n">
        <x:v>4.757081697754016</x:v>
      </x:c>
      <x:c r="I48" s="57" t="n">
        <x:v>5.216577080448375</x:v>
      </x:c>
      <x:c r="J48" s="57" t="n">
        <x:v>5.47945972535235</x:v>
      </x:c>
      <x:c r="K48" s="57" t="n">
        <x:v>4.610658203973033</x:v>
      </x:c>
      <x:c r="L48" s="57" t="n">
        <x:v>4.873540848877008</x:v>
      </x:c>
      <x:c r="M48" s="57" t="n">
        <x:v>5.82183</x:v>
      </x:c>
      <x:c r="N48" s="57" t="n">
        <x:v>6.112845928592585</x:v>
      </x:c>
      <x:c r="O48" s="57" t="n">
        <x:v>4.5230905146053075</x:v>
      </x:c>
      <x:c r="P48" s="80" t="n">
        <x:v>4.814106443197892</x:v>
      </x:c>
    </x:row>
    <x:row r="49">
      <x:c r="A49" s="79" t="n">
        <x:v>45245.5</x:v>
      </x:c>
      <x:c r="B49" s="57" t="n">
        <x:v>5.33</x:v>
      </x:c>
      <x:c r="C49" s="57" t="n">
        <x:v>5.25</x:v>
      </x:c>
      <x:c r="D49" s="57" t="n">
        <x:v>5.5</x:v>
      </x:c>
      <x:c r="E49" s="57" t="n">
        <x:v>4.405518277822901</x:v>
      </x:c>
      <x:c r="F49" s="57" t="n">
        <x:v>4.834567537088672</x:v>
      </x:c>
      <x:c r="G49" s="57" t="n">
        <x:v>3.937630241501027</x:v>
      </x:c>
      <x:c r="H49" s="57" t="n">
        <x:v>4.366679500766798</x:v>
      </x:c>
      <x:c r="I49" s="57" t="n">
        <x:v>4.832759138911451</x:v>
      </x:c>
      <x:c r="J49" s="57" t="n">
        <x:v>5.047283768544336</x:v>
      </x:c>
      <x:c r="K49" s="57" t="n">
        <x:v>4.598815120750514</x:v>
      </x:c>
      <x:c r="L49" s="57" t="n">
        <x:v>4.813339750383399</x:v>
      </x:c>
      <x:c r="M49" s="57" t="n">
        <x:v>4.41943</x:v>
      </x:c>
      <x:c r="N49" s="57" t="n">
        <x:v>4.6616563331953005</x:v>
      </x:c>
      <x:c r="O49" s="57" t="n">
        <x:v>4.598249721387091</x:v>
      </x:c>
      <x:c r="P49" s="80" t="n">
        <x:v>4.840476054582393</x:v>
      </x:c>
    </x:row>
    <x:row r="50">
      <x:c r="A50" s="79" t="n">
        <x:v>45337.5</x:v>
      </x:c>
      <x:c r="B50" s="57" t="n">
        <x:v>5.33</x:v>
      </x:c>
      <x:c r="C50" s="57" t="n">
        <x:v>5.25</x:v>
      </x:c>
      <x:c r="D50" s="57" t="n">
        <x:v>5.5</x:v>
      </x:c>
      <x:c r="E50" s="57" t="n">
        <x:v>4.2998603055397195</x:v>
      </x:c>
      <x:c r="F50" s="57" t="n">
        <x:v>4.682775934746497</x:v>
      </x:c>
      <x:c r="G50" s="57" t="n">
        <x:v>3.24200782932517</x:v>
      </x:c>
      <x:c r="H50" s="57" t="n">
        <x:v>3.624923458531947</x:v>
      </x:c>
      <x:c r="I50" s="57" t="n">
        <x:v>4.814930152769859</x:v>
      </x:c>
      <x:c r="J50" s="57" t="n">
        <x:v>5.006387967373248</x:v>
      </x:c>
      <x:c r="K50" s="57" t="n">
        <x:v>4.286003914662585</x:v>
      </x:c>
      <x:c r="L50" s="57" t="n">
        <x:v>4.477461729265974</x:v>
      </x:c>
      <x:c r="M50" s="57" t="n">
        <x:v>3.9601783333333334</x:v>
      </x:c>
      <x:c r="N50" s="57" t="n">
        <x:v>4.171291813443606</x:v>
      </x:c>
      <x:c r="O50" s="57" t="n">
        <x:v>4.50447841168871</x:v>
      </x:c>
      <x:c r="P50" s="80" t="n">
        <x:v>4.715591891798984</x:v>
      </x:c>
    </x:row>
    <x:row r="51">
      <x:c r="A51" s="79" t="n">
        <x:v>45427.5</x:v>
      </x:c>
      <x:c r="B51" s="57" t="n">
        <x:v>5.33</x:v>
      </x:c>
      <x:c r="C51" s="57" t="n">
        <x:v>5.25</x:v>
      </x:c>
      <x:c r="D51" s="57" t="n">
        <x:v>5.5</x:v>
      </x:c>
      <x:c r="E51" s="57" t="n">
        <x:v>4.160222467204729</x:v>
      </x:c>
      <x:c r="F51" s="57" t="n">
        <x:v>4.406087567466002</x:v>
      </x:c>
      <x:c r="G51" s="57" t="n">
        <x:v>3.8581573409799033</x:v>
      </x:c>
      <x:c r="H51" s="57" t="n">
        <x:v>4.104022441241176</x:v>
      </x:c>
      <x:c r="I51" s="57" t="n">
        <x:v>4.745111233602365</x:v>
      </x:c>
      <x:c r="J51" s="57" t="n">
        <x:v>4.868043783733</x:v>
      </x:c>
      <x:c r="K51" s="57" t="n">
        <x:v>4.594078670489951</x:v>
      </x:c>
      <x:c r="L51" s="57" t="n">
        <x:v>4.717011220620588</x:v>
      </x:c>
      <x:c r="M51" s="57" t="n">
        <x:v>5.13713</x:v>
      </x:c>
      <x:c r="N51" s="57" t="n">
        <x:v>5.278481201787318</x:v>
      </x:c>
      <x:c r="O51" s="57" t="n">
        <x:v>4.56038428089634</x:v>
      </x:c>
      <x:c r="P51" s="80" t="n">
        <x:v>4.701735482683659</x:v>
      </x:c>
    </x:row>
    <x:row r="52">
      <x:c r="A52" s="79" t="n">
        <x:v>45519.5</x:v>
      </x:c>
      <x:c r="B52" s="57" t="n">
        <x:v>5.263333333333333</x:v>
      </x:c>
      <x:c r="C52" s="57" t="n">
        <x:v>5.25</x:v>
      </x:c>
      <x:c r="D52" s="57" t="n">
        <x:v>5.5</x:v>
      </x:c>
      <x:c r="E52" s="57" t="n">
        <x:v>3.718167769981595</x:v>
      </x:c>
      <x:c r="F52" s="57" t="n">
        <x:v>3.7965034494659005</x:v>
      </x:c>
      <x:c r="G52" s="57" t="n">
        <x:v>3.3096596914141028</x:v>
      </x:c>
      <x:c r="H52" s="57" t="n">
        <x:v>3.387995370898409</x:v>
      </x:c>
      <x:c r="I52" s="57" t="n">
        <x:v>4.524083884990798</x:v>
      </x:c>
      <x:c r="J52" s="57" t="n">
        <x:v>4.56325172473295</x:v>
      </x:c>
      <x:c r="K52" s="57" t="n">
        <x:v>4.319829845707051</x:v>
      </x:c>
      <x:c r="L52" s="57" t="n">
        <x:v>4.3589976854492045</x:v>
      </x:c>
      <x:c r="M52" s="57" t="n">
        <x:v>4.630941666666667</x:v>
      </x:c>
      <x:c r="N52" s="57" t="n">
        <x:v>4.687273990599743</x:v>
      </x:c>
      <x:c r="O52" s="57" t="n">
        <x:v>4.537004939613272</x:v>
      </x:c>
      <x:c r="P52" s="80" t="n">
        <x:v>4.593337263546348</x:v>
      </x:c>
    </x:row>
    <x:row r="53">
      <x:c r="A53" s="79" t="n">
        <x:v>45611.5</x:v>
      </x:c>
      <x:c r="B53" s="57" t="n">
        <x:v>4.649999999999999</x:v>
      </x:c>
      <x:c r="C53" s="57" t="n">
        <x:v>4.5</x:v>
      </x:c>
      <x:c r="D53" s="57" t="n">
        <x:v>4.75</x:v>
      </x:c>
      <x:c r="E53" s="57" t="n">
        <x:v>4.134055814259625</x:v>
      </x:c>
      <x:c r="F53" s="57" t="n">
        <x:v>4.043941832142453</x:v>
      </x:c>
      <x:c r="G53" s="57" t="n">
        <x:v>3.417954453236356</x:v>
      </x:c>
      <x:c r="H53" s="57" t="n">
        <x:v>3.327840471119184</x:v>
      </x:c>
      <x:c r="I53" s="57" t="n">
        <x:v>4.6986945737964785</x:v>
      </x:c>
      <x:c r="J53" s="57" t="n">
        <x:v>4.653637582737893</x:v>
      </x:c>
      <x:c r="K53" s="57" t="n">
        <x:v>4.340643893284844</x:v>
      </x:c>
      <x:c r="L53" s="57" t="n">
        <x:v>4.295586902226258</x:v>
      </x:c>
      <x:c r="M53" s="57" t="n">
        <x:v>4.269638333333333</x:v>
      </x:c>
      <x:c r="N53" s="57" t="n">
        <x:v>4.239026806530559</x:v>
      </x:c>
      <x:c r="O53" s="57" t="n">
        <x:v>4.458754413232134</x:v>
      </x:c>
      <x:c r="P53" s="80" t="n">
        <x:v>4.4281428864293595</x:v>
      </x:c>
    </x:row>
    <x:row r="54">
      <x:c r="A54" s="79" t="n">
        <x:v>45703.5</x:v>
      </x:c>
      <x:c r="B54" s="57" t="n">
        <x:v>4.33</x:v>
      </x:c>
      <x:c r="C54" s="57" t="n">
        <x:v>4.25</x:v>
      </x:c>
      <x:c r="D54" s="57" t="n">
        <x:v>4.5</x:v>
      </x:c>
      <x:c r="E54" s="57" t="n">
        <x:v>4.113069416581042</x:v>
      </x:c>
      <x:c r="F54" s="57" t="n">
        <x:v>3.9051376874803783</x:v>
      </x:c>
      <x:c r="G54" s="57" t="n">
        <x:v>3.8793993157928237</x:v>
      </x:c>
      <x:c r="H54" s="57" t="n">
        <x:v>3.6714675866921596</x:v>
      </x:c>
      <x:c r="I54" s="57" t="n">
        <x:v>4.38153470829052</x:v>
      </x:c>
      <x:c r="J54" s="57" t="n">
        <x:v>4.277568843740188</x:v>
      </x:c>
      <x:c r="K54" s="57" t="n">
        <x:v>4.264699657896411</x:v>
      </x:c>
      <x:c r="L54" s="57" t="n">
        <x:v>4.160733793346079</x:v>
      </x:c>
      <x:c r="M54" s="57" t="n">
        <x:v>3.295634999999999</x:v>
      </x:c>
      <x:c r="N54" s="57" t="n">
        <x:v>3.2045020295779345</x:v>
      </x:c>
      <x:c r="O54" s="57" t="n">
        <x:v>3.905955037659585</x:v>
      </x:c>
      <x:c r="P54" s="80" t="n">
        <x:v>3.8148220672375204</x:v>
      </x:c>
    </x:row>
    <x:row r="55">
      <x:c r="A55" s="79" t="n">
        <x:v>45792.5</x:v>
      </x:c>
      <x:c r="B55" s="57" t="n">
        <x:v>4.33</x:v>
      </x:c>
      <x:c r="C55" s="57" t="n">
        <x:v>4.25</x:v>
      </x:c>
      <x:c r="D55" s="57" t="n">
        <x:v>4.5</x:v>
      </x:c>
      <x:c r="E55" s="57" t="n">
        <x:v>3.8706435835311903</x:v>
      </x:c>
      <x:c r="F55" s="57" t="n">
        <x:v>3.7751900791639903</x:v>
      </x:c>
      <x:c r="G55" s="57" t="n">
        <x:v>4.799246189483946</x:v>
      </x:c>
      <x:c r="H55" s="57" t="n">
        <x:v>4.703792685116746</x:v>
      </x:c>
      <x:c r="I55" s="57" t="n">
        <x:v>4.100321791765595</x:v>
      </x:c>
      <x:c r="J55" s="57" t="n">
        <x:v>4.052595039581995</x:v>
      </x:c>
      <x:c r="K55" s="57" t="n">
        <x:v>4.5646230947419735</x:v>
      </x:c>
      <x:c r="L55" s="57" t="n">
        <x:v>4.516896342558374</x:v>
      </x:c>
      <x:c r="M55" s="57" t="n">
        <x:v>4.684355</x:v>
      </x:c>
      <x:c r="N55" s="57" t="n">
        <x:v>4.648128271500598</x:v>
      </x:c>
      <x:c r="O55" s="57" t="n">
        <x:v>3.7358637219040176</x:v>
      </x:c>
      <x:c r="P55" s="80" t="n">
        <x:v>3.6996369934046154</x:v>
      </x:c>
    </x:row>
    <x:row r="56">
      <x:c r="A56" s="79" t="n">
        <x:v>45884.5</x:v>
      </x:c>
      <x:c r="B56" s="57" t="n">
        <x:v>4.1</x:v>
      </x:c>
      <x:c r="C56" s="57" t="n">
        <x:v>4.25</x:v>
      </x:c>
      <x:c r="D56" s="57" t="n">
        <x:v>4.5</x:v>
      </x:c>
      <x:c r="E56" s="57" t="n">
        <x:v>4.141109658678292</x:v>
      </x:c>
      <x:c r="F56" s="57" t="n">
        <x:v>4.193458127485422</x:v>
      </x:c>
      <x:c r="G56" s="57" t="n">
        <x:v>4.191565751130659</x:v>
      </x:c>
      <x:c r="H56" s="57" t="n">
        <x:v>4.243914219937789</x:v>
      </x:c>
      <x:c r="I56" s="57" t="n">
        <x:v>4.235554829339145</x:v>
      </x:c>
      <x:c r="J56" s="57" t="n">
        <x:v>4.261729063742711</x:v>
      </x:c>
      <x:c r="K56" s="57" t="n">
        <x:v>4.260782875565329</x:v>
      </x:c>
      <x:c r="L56" s="57" t="n">
        <x:v>4.286957109968895</x:v>
      </x:c>
      <x:c r="M56" s="57" t="n">
        <x:v>5.804595</x:v>
      </x:c>
      <x:c r="N56" s="57" t="n">
        <x:v>5.839158232724845</x:v>
      </x:c>
      <x:c r="O56" s="57" t="n">
        <x:v>4.195</x:v>
      </x:c>
      <x:c r="P56" s="80" t="n">
        <x:v>4.229563232724845</x:v>
      </x:c>
    </x:row>
    <x:row r="57">
      <x:c r="A57" s="79" t="n">
        <x:v>45976.5</x:v>
      </x:c>
      <x:c r="B57" s="57" t="n">
        <x:v>3.72</x:v>
      </x:c>
      <x:c r="C57" s="57" t="n">
        <x:v>3.75</x:v>
      </x:c>
      <x:c r="D57" s="57" t="n">
        <x:v>4</x:v>
      </x:c>
      <x:c r="E57" s="57" t="n">
        <x:v>4.157394393077939</x:v>
      </x:c>
      <x:c r="F57" s="57" t="n">
        <x:v>4.045832903464467</x:v>
      </x:c>
      <x:c r="G57" s="57" t="n">
        <x:v>4.004534757424349</x:v>
      </x:c>
      <x:c r="H57" s="57" t="n">
        <x:v>3.892973267810877</x:v>
      </x:c>
      <x:c r="I57" s="57" t="n">
        <x:v>4.2253638632056365</x:v>
      </x:c>
      <x:c r="J57" s="57" t="n">
        <x:v>4.1695831183989</x:v>
      </x:c>
      <x:c r="K57" s="57" t="n">
        <x:v>4.148934045378841</x:v>
      </x:c>
      <x:c r="L57" s="57" t="n">
        <x:v>4.093153300572105</x:v>
      </x:c>
      <x:c r="M57" s="57" t="n">
        <x:v>3.766335</x:v>
      </x:c>
      <x:c r="N57" s="57" t="n">
        <x:v>3.7281694478500333</x:v>
      </x:c>
      <x:c r="O57" s="57" t="n">
        <x:v>4.1665</x:v>
      </x:c>
      <x:c r="P57" s="80" t="n">
        <x:v>4.128334447850033</x:v>
      </x:c>
    </x:row>
    <x:row r="58">
      <x:c r="A58" s="79" t="n">
        <x:v>46068.5</x:v>
      </x:c>
      <x:c r="B58" s="57" t="n">
        <x:v>3.64</x:v>
      </x:c>
      <x:c r="C58" s="57" t="n">
        <x:v>3.5</x:v>
      </x:c>
      <x:c r="D58" s="57" t="n">
        <x:v>3.75</x:v>
      </x:c>
      <x:c r="E58" s="57" t="n">
        <x:v>4.795983516090297</x:v>
      </x:c>
      <x:c r="F58" s="57" t="n">
        <x:v>4.769996798550084</x:v>
      </x:c>
      <x:c r="G58" s="57" t="n">
        <x:v>4.146294653012562</x:v>
      </x:c>
      <x:c r="H58" s="57" t="n">
        <x:v>4.12030793547235</x:v>
      </x:c>
      <x:c r="I58" s="57" t="n">
        <x:v>4.346325091378482</x:v>
      </x:c>
      <x:c r="J58" s="57" t="n">
        <x:v>4.333331732608375</x:v>
      </x:c>
      <x:c r="K58" s="57" t="n">
        <x:v>4.0214806598396144</x:v>
      </x:c>
      <x:c r="L58" s="57" t="n">
        <x:v>4.008487301069509</x:v>
      </x:c>
      <x:c r="M58" s="57" t="n">
        <x:v>4.06473</x:v>
      </x:c>
      <x:c r="N58" s="57" t="n">
        <x:v>3.984897781183367</x:v>
      </x:c>
      <x:c r="O58" s="57" t="n">
        <x:v>4.01</x:v>
      </x:c>
      <x:c r="P58" s="80" t="n">
        <x:v>3.930167781183367</x:v>
      </x:c>
    </x:row>
    <x:row r="59">
      <x:c r="A59" s="81" t="n">
        <x:v>46157.5</x:v>
      </x:c>
      <x:c r="B59" s="62" t="n">
        <x:v>3.63</x:v>
      </x:c>
      <x:c r="C59" s="62" t="n">
        <x:v>3.5</x:v>
      </x:c>
      <x:c r="D59" s="62" t="n">
        <x:v>3.75</x:v>
      </x:c>
      <x:c r="E59" s="62" t="n">
        <x:v>6.011806193233088</x:v>
      </x:c>
      <x:c r="F59" s="62" t="n">
        <x:v>5.944152809026208</x:v>
      </x:c>
      <x:c r="G59" s="62" t="n">
        <x:v>4.898230227602368</x:v>
      </x:c>
      <x:c r="H59" s="62" t="n">
        <x:v>4.830576843395488</x:v>
      </x:c>
      <x:c r="I59" s="62" t="n">
        <x:v>4.825903096616544</x:v>
      </x:c>
      <x:c r="J59" s="62" t="n">
        <x:v>4.792076404513104</x:v>
      </x:c>
      <x:c r="K59" s="62" t="n">
        <x:v>4.269115113801184</x:v>
      </x:c>
      <x:c r="L59" s="62" t="n">
        <x:v>4.235288421697744</x:v>
      </x:c>
      <x:c r="M59" s="62" t="n">
        <x:v>4.2825</x:v>
      </x:c>
      <x:c r="N59" s="62" t="n">
        <x:v>4.24867330789656</x:v>
      </x:c>
      <x:c r="O59" s="62" t="n">
        <x:v>3.7925</x:v>
      </x:c>
      <x:c r="P59" s="82" t="n">
        <x:v>3.7586733078965597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22" hidden="0" customWidth="1"/>
    <x:col min="4" max="4" width="16" hidden="0" customWidth="1"/>
    <x:col min="5" max="5" width="72" hidden="0" customWidth="1"/>
  </x:cols>
  <x:sheetData>
    <x:row r="1" ht="26" customHeight="1">
      <x:c r="A1" s="10" t="str">
        <x:v>Rule Family</x:v>
      </x:c>
      <x:c r="B1" s="10" t="str">
        <x:v>Input</x:v>
      </x:c>
      <x:c r="C1" s="10" t="str">
        <x:v>Variable Name</x:v>
      </x:c>
      <x:c r="D1" s="10" t="str">
        <x:v>Value</x:v>
      </x:c>
      <x:c r="E1" s="10" t="str">
        <x:v>Sources</x:v>
      </x:c>
    </x:row>
    <x:row r="2">
      <x:c r="A2" s="23" t="str">
        <x:v>Dashboard context</x:v>
      </x:c>
      <x:c r="B2" s="23" t="str">
        <x:v>Current effective federal funds rate</x:v>
      </x:c>
      <x:c r="C2" s="23" t="str">
        <x:v>effr</x:v>
      </x:c>
      <x:c r="D2" s="91" t="n">
        <x:v>3.63</x:v>
      </x:c>
      <x:c r="E2" s="92" t="str">
        <x:v>Federal Reserve Bank of New York Effective FFR — https://www.newyorkfed.org/markets/reference-rates/effr</x:v>
      </x:c>
    </x:row>
    <x:row r="3">
      <x:c r="A3" s="25" t="str">
        <x:v>Taylor</x:v>
      </x:c>
      <x:c r="B3" s="25" t="str">
        <x:v>Lagged effective federal funds rate</x:v>
      </x:c>
      <x:c r="C3" s="25" t="str">
        <x:v>lagged_ffr</x:v>
      </x:c>
      <x:c r="D3" s="93" t="n">
        <x:v>3.64</x:v>
      </x:c>
      <x:c r="E3" s="94" t="str">
        <x:v>Federal Reserve Bank of Atlanta Taylor Rule Utility — https://www.atlantafed.org/research-and-data/data/taylor-rule</x:v>
      </x:c>
    </x:row>
    <x:row r="4">
      <x:c r="A4" s="25" t="str">
        <x:v>Taylor</x:v>
      </x:c>
      <x:c r="B4" s="25" t="str">
        <x:v>Inflation target</x:v>
      </x:c>
      <x:c r="C4" s="25" t="str">
        <x:v>inflation_target</x:v>
      </x:c>
      <x:c r="D4" s="93" t="n">
        <x:v>2</x:v>
      </x:c>
      <x:c r="E4" s="94" t="str">
        <x:v>Federal Reserve Bank of Atlanta Taylor Rule Utility — https://www.atlantafed.org/research-and-data/data/taylor-rule</x:v>
      </x:c>
    </x:row>
    <x:row r="5">
      <x:c r="A5" s="25" t="str">
        <x:v>Taylor</x:v>
      </x:c>
      <x:c r="B5" s="25" t="str">
        <x:v>SEP-implied neutral real rate</x:v>
      </x:c>
      <x:c r="C5" s="25" t="str">
        <x:v>r_star_sep</x:v>
      </x:c>
      <x:c r="D5" s="93" t="n">
        <x:v>1.125</x:v>
      </x:c>
      <x:c r="E5" s="94" t="str">
        <x:v>Federal Reserve Bank of Atlanta Taylor Rule Utility — https://www.atlantafed.org/research-and-data/data/taylor-rule</x:v>
      </x:c>
    </x:row>
    <x:row r="6">
      <x:c r="A6" s="25" t="str">
        <x:v>Taylor</x:v>
      </x:c>
      <x:c r="B6" s="25" t="str">
        <x:v>HLW neutral real rate</x:v>
      </x:c>
      <x:c r="C6" s="25" t="str">
        <x:v>r_star_hlw</x:v>
      </x:c>
      <x:c r="D6" s="93" t="n">
        <x:v>1.05734661579312</x:v>
      </x:c>
      <x:c r="E6" s="94" t="str">
        <x:v>Federal Reserve Bank of Atlanta Taylor Rule Utility — https://www.atlantafed.org/research-and-data/data/taylor-rule</x:v>
      </x:c>
    </x:row>
    <x:row r="7">
      <x:c r="A7" s="25" t="str">
        <x:v>Taylor</x:v>
      </x:c>
      <x:c r="B7" s="25" t="str">
        <x:v>PCE inflation</x:v>
      </x:c>
      <x:c r="C7" s="25" t="str">
        <x:v>pce</x:v>
      </x:c>
      <x:c r="D7" s="93" t="n">
        <x:v>3.838981906599837</x:v>
      </x:c>
      <x:c r="E7" s="94" t="str">
        <x:v>Federal Reserve Bank of Atlanta Taylor Rule Utility — https://www.atlantafed.org/research-and-data/data/taylor-rule</x:v>
      </x:c>
    </x:row>
    <x:row r="8">
      <x:c r="A8" s="25" t="str">
        <x:v>Taylor</x:v>
      </x:c>
      <x:c r="B8" s="25" t="str">
        <x:v>Expected PCE inflation</x:v>
      </x:c>
      <x:c r="C8" s="25" t="str">
        <x:v>pce_spf</x:v>
      </x:c>
      <x:c r="D8" s="93" t="n">
        <x:v>3.09659792951269</x:v>
      </x:c>
      <x:c r="E8" s="94" t="str">
        <x:v>Federal Reserve Bank of Atlanta Taylor Rule Utility — https://www.atlantafed.org/research-and-data/data/taylor-rule</x:v>
      </x:c>
    </x:row>
    <x:row r="9">
      <x:c r="A9" s="25" t="str">
        <x:v>Taylor</x:v>
      </x:c>
      <x:c r="B9" s="25" t="str">
        <x:v>Unemployment gap</x:v>
      </x:c>
      <x:c r="C9" s="25" t="str">
        <x:v>unemp_gap</x:v>
      </x:c>
      <x:c r="D9" s="93" t="n">
        <x:v>0.2566666666666659</x:v>
      </x:c>
      <x:c r="E9" s="94" t="str">
        <x:v>Federal Reserve Bank of Atlanta Taylor Rule Utility — https://www.atlantafed.org/research-and-data/data/taylor-rule</x:v>
      </x:c>
    </x:row>
    <x:row r="10">
      <x:c r="A10" s="25" t="str">
        <x:v>NGDP</x:v>
      </x:c>
      <x:c r="B10" s="25" t="str">
        <x:v>Lagged effective federal funds rate</x:v>
      </x:c>
      <x:c r="C10" s="25" t="str">
        <x:v>lagged_ffr</x:v>
      </x:c>
      <x:c r="D10" s="93" t="n">
        <x:v>3.64</x:v>
      </x:c>
      <x:c r="E10" s="94" t="str">
        <x:v>Federal Reserve Bank of Atlanta Taylor Rule Utility — https://www.atlantafed.org/research-and-data/data/taylor-rule</x:v>
      </x:c>
    </x:row>
    <x:row r="11">
      <x:c r="A11" s="25" t="str">
        <x:v>NGDP</x:v>
      </x:c>
      <x:c r="B11" s="25" t="str">
        <x:v>NGDP growth target</x:v>
      </x:c>
      <x:c r="C11" s="25" t="str">
        <x:v>ngdp_target</x:v>
      </x:c>
      <x:c r="D11" s="93" t="n">
        <x:v>4</x:v>
      </x:c>
      <x:c r="E11" s="94" t="str">
        <x:v>Fixed methodological assumption — 4.0% NGDP growth target</x:v>
      </x:c>
    </x:row>
    <x:row r="12">
      <x:c r="A12" s="25" t="str">
        <x:v>NGDP</x:v>
      </x:c>
      <x:c r="B12" s="25" t="str">
        <x:v>Nominal GDP growth</x:v>
      </x:c>
      <x:c r="C12" s="25" t="str">
        <x:v>ngdp</x:v>
      </x:c>
      <x:c r="D12" s="93" t="n">
        <x:v>5.8</x:v>
      </x:c>
      <x:c r="E12" s="94" t="str">
        <x:v>Bureau of Economic Analysis Nominal GDP — https://www.bea.gov/data/gdp/gross-domestic-product</x:v>
      </x:c>
    </x:row>
    <x:row r="13">
      <x:c r="A13" s="25" t="str">
        <x:v>NGDP</x:v>
      </x:c>
      <x:c r="B13" s="25" t="str">
        <x:v>Nominal-spending gap</x:v>
      </x:c>
      <x:c r="C13" s="25" t="str">
        <x:v>nominal_gap</x:v>
      </x:c>
      <x:c r="D13" s="93" t="n">
        <x:v>0.82</x:v>
      </x:c>
      <x:c r="E13" s="94" t="str">
        <x:v>Monetary Neutrality Report Nominal-spending gap — https://fedagenda.substack.com/p/monetary-neutrality-report-d5a</x:v>
      </x:c>
    </x:row>
    <x:row r="14">
      <x:c r="A14" s="25" t="str">
        <x:v>NGDP</x:v>
      </x:c>
      <x:c r="B14" s="25" t="str">
        <x:v>SEP-implied neutral real rate</x:v>
      </x:c>
      <x:c r="C14" s="25" t="str">
        <x:v>r_star_sep</x:v>
      </x:c>
      <x:c r="D14" s="93" t="n">
        <x:v>1.125</x:v>
      </x:c>
      <x:c r="E14" s="94" t="str">
        <x:v>Federal Reserve Bank of Atlanta Taylor Rule Utility — https://www.atlantafed.org/research-and-data/data/taylor-rule</x:v>
      </x:c>
    </x:row>
    <x:row r="15">
      <x:c r="A15" s="29" t="str">
        <x:v>NGDP</x:v>
      </x:c>
      <x:c r="B15" s="29" t="str">
        <x:v>HLW neutral real rate</x:v>
      </x:c>
      <x:c r="C15" s="29" t="str">
        <x:v>r_star_hlw</x:v>
      </x:c>
      <x:c r="D15" s="95" t="n">
        <x:v>1.05734661579312</x:v>
      </x:c>
      <x:c r="E15" s="96" t="str">
        <x:v>Federal Reserve Bank of Atlanta Taylor Rule Utility — https://www.atlantafed.org/research-and-data/data/taylor-rule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70" hidden="0" customWidth="1"/>
  </x:cols>
  <x:sheetData>
    <x:row r="1" ht="26" customHeight="1">
      <x:c r="A1" s="10" t="str">
        <x:v>Report</x:v>
      </x:c>
      <x:c r="B1" s="10" t="str">
        <x:v>Published</x:v>
      </x:c>
      <x:c r="C1" s="10" t="str">
        <x:v>Last Checked</x:v>
      </x:c>
      <x:c r="D1" s="10" t="str">
        <x:v>URL</x:v>
      </x:c>
    </x:row>
    <x:row r="2">
      <x:c r="A2" s="50" t="str">
        <x:v>Latest Monetary Rules Report</x:v>
      </x:c>
      <x:c r="B2" s="99" t="n">
        <x:v>46231.5</x:v>
      </x:c>
      <x:c r="C2" s="99" t="n">
        <x:v>46231.5</x:v>
      </x:c>
      <x:c r="D2" s="54" t="str">
        <x:v>https://fedagenda.substack.com/p/monetary-rules-report-31f</x:v>
      </x:c>
    </x:row>
    <x:row r="3">
      <x:c r="A3" s="60" t="str">
        <x:v>Latest Monetary Neutrality Report</x:v>
      </x:c>
      <x:c r="B3" s="100" t="n">
        <x:v>46143.5</x:v>
      </x:c>
      <x:c r="C3" s="100" t="n">
        <x:v>46231.5</x:v>
      </x:c>
      <x:c r="D3" s="64" t="str">
        <x:v>https://fedagenda.substack.com/p/monetary-neutrality-report-d5a</x:v>
      </x:c>
    </x:row>
  </x:sheetData>
  <x:pageMargins left="0.7" right="0.7" top="0.75" bottom="0.75" header="0.3" footer="0.3"/>
</x:worksheet>
</file>